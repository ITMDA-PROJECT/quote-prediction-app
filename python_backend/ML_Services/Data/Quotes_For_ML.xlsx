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cla\Downloads\"/>
    </mc:Choice>
  </mc:AlternateContent>
  <xr:revisionPtr revIDLastSave="0" documentId="8_{0570F164-A965-456F-8DD7-C0497F7B2539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" l="1"/>
  <c r="O43" i="1"/>
  <c r="O44" i="1"/>
  <c r="O45" i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O54" i="1"/>
  <c r="O55" i="1"/>
  <c r="P55" i="1" s="1"/>
  <c r="M43" i="1"/>
  <c r="P43" i="1" s="1"/>
  <c r="M44" i="1"/>
  <c r="M45" i="1"/>
  <c r="M47" i="1"/>
  <c r="M48" i="1"/>
  <c r="M49" i="1"/>
  <c r="M50" i="1"/>
  <c r="M51" i="1"/>
  <c r="M52" i="1"/>
  <c r="M53" i="1"/>
  <c r="M54" i="1"/>
  <c r="M5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O77" i="1"/>
  <c r="M78" i="1"/>
  <c r="M79" i="1"/>
  <c r="M80" i="1"/>
  <c r="M81" i="1"/>
  <c r="M82" i="1"/>
  <c r="M83" i="1"/>
  <c r="M84" i="1"/>
  <c r="M85" i="1"/>
  <c r="M86" i="1"/>
  <c r="M87" i="1"/>
  <c r="M88" i="1"/>
  <c r="M77" i="1"/>
  <c r="O78" i="1"/>
  <c r="O76" i="1"/>
  <c r="O79" i="1"/>
  <c r="O75" i="1"/>
  <c r="O63" i="1"/>
  <c r="O62" i="1"/>
  <c r="O69" i="1"/>
  <c r="O70" i="1"/>
  <c r="O71" i="1"/>
  <c r="O72" i="1"/>
  <c r="O73" i="1"/>
  <c r="O74" i="1"/>
  <c r="O80" i="1"/>
  <c r="O81" i="1"/>
  <c r="O82" i="1"/>
  <c r="O83" i="1"/>
  <c r="O84" i="1"/>
  <c r="O85" i="1"/>
  <c r="O86" i="1"/>
  <c r="O87" i="1"/>
  <c r="O88" i="1"/>
  <c r="O68" i="1"/>
  <c r="O61" i="1"/>
  <c r="O60" i="1"/>
  <c r="O59" i="1"/>
  <c r="O58" i="1"/>
  <c r="O57" i="1"/>
  <c r="O56" i="1"/>
  <c r="O42" i="1"/>
  <c r="O41" i="1"/>
  <c r="O40" i="1"/>
  <c r="O39" i="1"/>
  <c r="O38" i="1"/>
  <c r="O37" i="1"/>
  <c r="O36" i="1"/>
  <c r="O35" i="1"/>
  <c r="O34" i="1"/>
  <c r="O24" i="1"/>
  <c r="O18" i="1"/>
  <c r="O19" i="1"/>
  <c r="O20" i="1"/>
  <c r="O21" i="1"/>
  <c r="O22" i="1"/>
  <c r="O16" i="1"/>
  <c r="O17" i="1"/>
  <c r="O23" i="1"/>
  <c r="O15" i="1"/>
  <c r="O14" i="1"/>
  <c r="O13" i="1"/>
  <c r="O65" i="1"/>
  <c r="O66" i="1"/>
  <c r="O67" i="1"/>
  <c r="O64" i="1"/>
  <c r="O2" i="1"/>
  <c r="O9" i="1"/>
  <c r="O10" i="1"/>
  <c r="O11" i="1"/>
  <c r="O12" i="1"/>
  <c r="O25" i="1"/>
  <c r="O26" i="1"/>
  <c r="O27" i="1"/>
  <c r="O28" i="1"/>
  <c r="O29" i="1"/>
  <c r="O30" i="1"/>
  <c r="O31" i="1"/>
  <c r="O32" i="1"/>
  <c r="O33" i="1"/>
  <c r="O8" i="1"/>
  <c r="O7" i="1"/>
  <c r="O6" i="1"/>
  <c r="O5" i="1"/>
  <c r="O4" i="1"/>
  <c r="O3" i="1"/>
  <c r="P54" i="1" l="1"/>
  <c r="P53" i="1"/>
  <c r="P45" i="1"/>
  <c r="P44" i="1"/>
  <c r="P77" i="1"/>
  <c r="P78" i="1"/>
  <c r="P63" i="1"/>
  <c r="P62" i="1"/>
  <c r="P76" i="1"/>
  <c r="P79" i="1"/>
  <c r="P75" i="1"/>
  <c r="P16" i="1"/>
  <c r="P24" i="1"/>
  <c r="P17" i="1"/>
  <c r="P82" i="1"/>
  <c r="P85" i="1"/>
  <c r="P87" i="1"/>
  <c r="P70" i="1"/>
  <c r="P15" i="1"/>
  <c r="P18" i="1"/>
  <c r="P86" i="1"/>
  <c r="P69" i="1"/>
  <c r="P23" i="1"/>
  <c r="P14" i="1"/>
  <c r="P20" i="1"/>
  <c r="P21" i="1"/>
  <c r="P81" i="1"/>
  <c r="P80" i="1"/>
  <c r="P13" i="1"/>
  <c r="P74" i="1"/>
  <c r="P19" i="1"/>
  <c r="P22" i="1"/>
  <c r="P68" i="1"/>
  <c r="P73" i="1"/>
  <c r="P72" i="1"/>
  <c r="P88" i="1"/>
  <c r="P71" i="1"/>
  <c r="P84" i="1"/>
  <c r="P83" i="1"/>
  <c r="P56" i="1"/>
  <c r="P57" i="1"/>
  <c r="P58" i="1"/>
  <c r="P59" i="1"/>
  <c r="P60" i="1"/>
  <c r="P61" i="1"/>
  <c r="P34" i="1"/>
  <c r="P35" i="1"/>
  <c r="P36" i="1"/>
  <c r="P37" i="1"/>
  <c r="P38" i="1"/>
  <c r="P39" i="1"/>
  <c r="P40" i="1"/>
  <c r="P41" i="1"/>
  <c r="P42" i="1"/>
  <c r="P67" i="1"/>
  <c r="P66" i="1"/>
  <c r="P65" i="1"/>
  <c r="P64" i="1"/>
  <c r="P7" i="1"/>
  <c r="P8" i="1"/>
  <c r="P9" i="1"/>
  <c r="P33" i="1"/>
  <c r="P32" i="1"/>
  <c r="P31" i="1"/>
  <c r="P30" i="1"/>
  <c r="P29" i="1"/>
  <c r="P28" i="1"/>
  <c r="P27" i="1"/>
  <c r="P26" i="1"/>
  <c r="P25" i="1"/>
  <c r="P12" i="1"/>
  <c r="P11" i="1"/>
  <c r="P10" i="1"/>
  <c r="P2" i="1"/>
  <c r="P3" i="1"/>
  <c r="P4" i="1"/>
  <c r="P5" i="1"/>
  <c r="P6" i="1"/>
</calcChain>
</file>

<file path=xl/sharedStrings.xml><?xml version="1.0" encoding="utf-8"?>
<sst xmlns="http://schemas.openxmlformats.org/spreadsheetml/2006/main" count="278" uniqueCount="215">
  <si>
    <t>quoteNumber</t>
  </si>
  <si>
    <t>orderDate</t>
  </si>
  <si>
    <t>turnAroundDays</t>
  </si>
  <si>
    <t>partID</t>
  </si>
  <si>
    <t>partDescription</t>
  </si>
  <si>
    <t>materialCode</t>
  </si>
  <si>
    <t>quantity</t>
  </si>
  <si>
    <t>cutting length (mm)</t>
  </si>
  <si>
    <t>numPierces</t>
  </si>
  <si>
    <t>thickness</t>
  </si>
  <si>
    <t>setupTime (min)</t>
  </si>
  <si>
    <t>drillingRate (s)</t>
  </si>
  <si>
    <t>totalDrillTime (min)</t>
  </si>
  <si>
    <t>cuttingRate (mm/min)</t>
  </si>
  <si>
    <t>cuttingTime (min)</t>
  </si>
  <si>
    <t>actualTime (min)</t>
  </si>
  <si>
    <t>predictedTime (produced by ML)</t>
  </si>
  <si>
    <t>WXQ112853</t>
  </si>
  <si>
    <t>TL09 00 07 220mm X 100mm</t>
  </si>
  <si>
    <t>MS-5</t>
  </si>
  <si>
    <t>WXQ113049</t>
  </si>
  <si>
    <t>Gusset plates 100mm x 200mm</t>
  </si>
  <si>
    <t>MS-8</t>
  </si>
  <si>
    <t>WXQ112979</t>
  </si>
  <si>
    <t>Product exit piston bracket piston holder</t>
  </si>
  <si>
    <t>MS-10</t>
  </si>
  <si>
    <t>Product exit piston T-piece</t>
  </si>
  <si>
    <t>WXQ19644</t>
  </si>
  <si>
    <t>Part 1: 545mm x 165mm</t>
  </si>
  <si>
    <t>MS-12</t>
  </si>
  <si>
    <t>Part 5: 250mm x 50mm</t>
  </si>
  <si>
    <t>MS-25</t>
  </si>
  <si>
    <t>WXQ113321</t>
  </si>
  <si>
    <t>Flanges OD240 x ID140 with Dia15mm</t>
  </si>
  <si>
    <t>MS-16</t>
  </si>
  <si>
    <t>WXQ113529</t>
  </si>
  <si>
    <t>3120-C-0226 Handle Flange - WJ + Mat + Mac</t>
  </si>
  <si>
    <t>MS-20</t>
  </si>
  <si>
    <t>3120-C-0240 Hex Lock Nut - WJ + Mat + Mac</t>
  </si>
  <si>
    <t>WXQ112961</t>
  </si>
  <si>
    <t>Haitian 270T platen mounting - MS-30</t>
  </si>
  <si>
    <t>MS-30</t>
  </si>
  <si>
    <t>WXQ112649</t>
  </si>
  <si>
    <t>F0271-LM-PUSHER WEIGHT-8CAV</t>
  </si>
  <si>
    <t>MS-40</t>
  </si>
  <si>
    <t>WXQ113159</t>
  </si>
  <si>
    <t>6mm MS conveyor plates - WJ cut</t>
  </si>
  <si>
    <t>MS-6</t>
  </si>
  <si>
    <t>WXQ113413</t>
  </si>
  <si>
    <t>Fan Motor Paddle</t>
  </si>
  <si>
    <t>WXQ113252</t>
  </si>
  <si>
    <t>S2 02 01 02 Forming drum Spacer Plate</t>
  </si>
  <si>
    <t>WXQ112879</t>
  </si>
  <si>
    <t>RINGS OD385 INCL DROP OUT</t>
  </si>
  <si>
    <t>Connector plates 200mm x 60mm</t>
  </si>
  <si>
    <t>WXQ113074</t>
  </si>
  <si>
    <t>MOTOR BASE 300mm x 155mm</t>
  </si>
  <si>
    <t>WXQ113387</t>
  </si>
  <si>
    <t>S2 03 01 01 - TRANSFER DRUM SPACER</t>
  </si>
  <si>
    <t>WXQ18547</t>
  </si>
  <si>
    <t>HAMMER DISCS 1.1 to 1.17 ( 2of each = 3)</t>
  </si>
  <si>
    <t>WXQ112881</t>
  </si>
  <si>
    <t>FLAT BAR CUT 16MM X 80MM 65MM</t>
  </si>
  <si>
    <t>WXQ112921</t>
  </si>
  <si>
    <t>V400 CLUTC PLATE</t>
  </si>
  <si>
    <t>WXQ113082</t>
  </si>
  <si>
    <t>W-04-Puller 190 X 169 with slots + hole</t>
  </si>
  <si>
    <t>WXQ113364</t>
  </si>
  <si>
    <t>SPROCKET 7T with  ID30.1mm</t>
  </si>
  <si>
    <t>WXQ112841</t>
  </si>
  <si>
    <t>Window frame clamp - Mat, cut + mac</t>
  </si>
  <si>
    <t>ALU6-6</t>
  </si>
  <si>
    <t>Screen mounting plate - Mat, cut + mac</t>
  </si>
  <si>
    <t>ALU6-4.5</t>
  </si>
  <si>
    <t>WXQ113583</t>
  </si>
  <si>
    <t>S2 02 01 00 Forming drum template</t>
  </si>
  <si>
    <t>ALU6-3</t>
  </si>
  <si>
    <t>WXQ113118</t>
  </si>
  <si>
    <t>Dummy Core Mount Pit - Top Left + Bottom</t>
  </si>
  <si>
    <t>ALU6-8</t>
  </si>
  <si>
    <t>WXQ113132</t>
  </si>
  <si>
    <t>B0951-AL-REDUCED-BACK PLATE</t>
  </si>
  <si>
    <t>ALU6-10</t>
  </si>
  <si>
    <t>WXQ113194</t>
  </si>
  <si>
    <t>D135708 Adaptor flange for exit seals</t>
  </si>
  <si>
    <t>ALU6-16</t>
  </si>
  <si>
    <t>WXQ113344</t>
  </si>
  <si>
    <t>S2 04 08 01 FRONT PLATE</t>
  </si>
  <si>
    <t>ALU6-12</t>
  </si>
  <si>
    <t>WXQ113145</t>
  </si>
  <si>
    <t>11149.3-026 - 155mm x 146mm</t>
  </si>
  <si>
    <t>ALU6-20</t>
  </si>
  <si>
    <t>WXQ113592</t>
  </si>
  <si>
    <t>P1909-030315 WJ cut + Mat + Mac</t>
  </si>
  <si>
    <t>ALU6-25</t>
  </si>
  <si>
    <t>WXQ113062</t>
  </si>
  <si>
    <t>Pedal box floor plate 655 x 505 with hole</t>
  </si>
  <si>
    <t>WXQ111106</t>
  </si>
  <si>
    <t>SIDE GUIDE INSERT - Unloading unit</t>
  </si>
  <si>
    <t>WXQ112739</t>
  </si>
  <si>
    <t>A-ASF EXIT CYLINDER MOUNT PLATE</t>
  </si>
  <si>
    <t>WXQ112353</t>
  </si>
  <si>
    <t>GEL PUMP BACK UP RING - DWG: 250373 - A</t>
  </si>
  <si>
    <t>WXQ112970</t>
  </si>
  <si>
    <t xml:space="preserve">Flange spanner </t>
  </si>
  <si>
    <t>WXQ113052</t>
  </si>
  <si>
    <t xml:space="preserve">M3 PLASTIC INTAKE 570 X 45 X 8 </t>
  </si>
  <si>
    <t>WXQ13483</t>
  </si>
  <si>
    <t>DUMMY CORE MOUNTING PLATE - SINGLE CAV</t>
  </si>
  <si>
    <t>A-ASF -STARWHEEL</t>
  </si>
  <si>
    <t>WXQ112942</t>
  </si>
  <si>
    <t>BASE PLATE AND EYE ASSY - WJ, MAT. + MAC</t>
  </si>
  <si>
    <t>SPEC PLA-8</t>
  </si>
  <si>
    <t>SPEC PLA-15</t>
  </si>
  <si>
    <t>WXQ113582</t>
  </si>
  <si>
    <t>HILUX SPACER IN 15MM HDPE</t>
  </si>
  <si>
    <t>WXQ112885</t>
  </si>
  <si>
    <t>061104-5340-01 - UHDPE - WHITE</t>
  </si>
  <si>
    <t>SPEC PLA-10</t>
  </si>
  <si>
    <t>WXQ112947</t>
  </si>
  <si>
    <t>COVER PLATE 490 X 380 - HDPE NATURAL</t>
  </si>
  <si>
    <t>WXQ113396</t>
  </si>
  <si>
    <t>VZ-004-HDPE1 - 134MM X 51.9MM</t>
  </si>
  <si>
    <t>WXQ113330</t>
  </si>
  <si>
    <t>6MM OCTAGON CONVEYER 4065MM X 1315MM</t>
  </si>
  <si>
    <t>SPEC PLA-16</t>
  </si>
  <si>
    <t>WXQ113275</t>
  </si>
  <si>
    <t xml:space="preserve">PART: 032206-0000-01 - 220MM </t>
  </si>
  <si>
    <t>SPEC PLA-6</t>
  </si>
  <si>
    <t>WXQ113184</t>
  </si>
  <si>
    <t>35-05-0592 WJ + MAT</t>
  </si>
  <si>
    <t>SS304-6</t>
  </si>
  <si>
    <t>WXQ113169</t>
  </si>
  <si>
    <t>35-02-6366 171.5 X 144.04</t>
  </si>
  <si>
    <t>SS304-40</t>
  </si>
  <si>
    <t>35-02-6363 OD240 X ID55</t>
  </si>
  <si>
    <t>SS304-25</t>
  </si>
  <si>
    <t>35-02-6365 47.97 X 160.80</t>
  </si>
  <si>
    <t>SS304-30</t>
  </si>
  <si>
    <t>WXQ112819</t>
  </si>
  <si>
    <t>BLADES TOP AND BOTTOM A.P.S.</t>
  </si>
  <si>
    <t>SS316-6</t>
  </si>
  <si>
    <t>WXQ112875</t>
  </si>
  <si>
    <t>WASHER OD103 X ID53</t>
  </si>
  <si>
    <t>WASHER OD76 X ID28</t>
  </si>
  <si>
    <t>WASHER OD136 X ID86</t>
  </si>
  <si>
    <t>WASHER OD121 X ID71</t>
  </si>
  <si>
    <t>WXQ112820</t>
  </si>
  <si>
    <t>SAFETY COVER SIDE 484.49 X 389.45</t>
  </si>
  <si>
    <t>SS316-8</t>
  </si>
  <si>
    <t>NOZZLE LOCK 260.25 X 170</t>
  </si>
  <si>
    <t>SS316-10</t>
  </si>
  <si>
    <t>WXQ113103</t>
  </si>
  <si>
    <t>2041-F-0231 WJ+MAT+MAC</t>
  </si>
  <si>
    <t>SS304-10</t>
  </si>
  <si>
    <t>WXQ113395</t>
  </si>
  <si>
    <t>4903911SA</t>
  </si>
  <si>
    <t>SS304-12</t>
  </si>
  <si>
    <t>WXQ112871</t>
  </si>
  <si>
    <t>SP2-D-04-3-07</t>
  </si>
  <si>
    <t>SS304-16</t>
  </si>
  <si>
    <t>WXQ112869</t>
  </si>
  <si>
    <t>END FLANGE OD293.4MM X ID146.6</t>
  </si>
  <si>
    <t>SS304-20</t>
  </si>
  <si>
    <t>PART: 035-25-00 143 X 140.10</t>
  </si>
  <si>
    <t>WXQ113156</t>
  </si>
  <si>
    <t>FRAME 677MM X 462MM</t>
  </si>
  <si>
    <t>WXQ112780</t>
  </si>
  <si>
    <t>PART 100 X 40 X 25MM</t>
  </si>
  <si>
    <t>SS316-25</t>
  </si>
  <si>
    <t>WXQ112914</t>
  </si>
  <si>
    <t>FWD UPPER CAR BRACKETS</t>
  </si>
  <si>
    <t>SS316-30</t>
  </si>
  <si>
    <t>WXQ112776</t>
  </si>
  <si>
    <t>4B-01-2R00 -1-FP-4B-01 CUT + MAC +MAC</t>
  </si>
  <si>
    <t>35-02-639 WJ + MAT</t>
  </si>
  <si>
    <t>SS304-8</t>
  </si>
  <si>
    <t>35-05-0654 WJ + MAT IN 50MM THICK ONLY</t>
  </si>
  <si>
    <t>SS304-50</t>
  </si>
  <si>
    <t>2042-F-0160 WJ+MAT+MAC</t>
  </si>
  <si>
    <t>WXQ113407</t>
  </si>
  <si>
    <t>04905272 - PADDLE - WJ, MAT, MAC</t>
  </si>
  <si>
    <t>1079-C-0105 LONG FLANGE 1</t>
  </si>
  <si>
    <t>WXQ112471</t>
  </si>
  <si>
    <t>PART: 035-02 35 140 X 25</t>
  </si>
  <si>
    <t>WXQ112276</t>
  </si>
  <si>
    <t>CUT OUT -R- IN C.O.M.</t>
  </si>
  <si>
    <t>MAR-6</t>
  </si>
  <si>
    <t>WXQ113149</t>
  </si>
  <si>
    <t>CUT OUT 1250MM X 300M</t>
  </si>
  <si>
    <t>MAR-15</t>
  </si>
  <si>
    <t>WXQ113058</t>
  </si>
  <si>
    <t>TOP CUT OUT 540 X 390 +450 X 390</t>
  </si>
  <si>
    <t>WXQ112991</t>
  </si>
  <si>
    <t>CUT OUT IN MARBLE 880MM X 420MM</t>
  </si>
  <si>
    <t>MAR-20</t>
  </si>
  <si>
    <t>WXQ113382</t>
  </si>
  <si>
    <t>PIT COOKER CUT</t>
  </si>
  <si>
    <t>WXQ112919</t>
  </si>
  <si>
    <t>HOT TOP CUT-OUT 1960 X 640 X 12</t>
  </si>
  <si>
    <t>GRAN-20</t>
  </si>
  <si>
    <t>WXQ112924</t>
  </si>
  <si>
    <t>SHELFLIFE</t>
  </si>
  <si>
    <t>WXQ113057</t>
  </si>
  <si>
    <t>TOP CUT OUT 795MM X 515MM</t>
  </si>
  <si>
    <t>WXQ113524</t>
  </si>
  <si>
    <t>R66 INSERTS</t>
  </si>
  <si>
    <t>RADIUS TILES</t>
  </si>
  <si>
    <t>WXQ112733</t>
  </si>
  <si>
    <t>HOT TOP AS PER DRAWING IN C.O.M.</t>
  </si>
  <si>
    <t>GRAN-30</t>
  </si>
  <si>
    <t>WXQ112754</t>
  </si>
  <si>
    <t>COPING CUTS 600 MM X 50MM</t>
  </si>
  <si>
    <t>WXQ112712</t>
  </si>
  <si>
    <t>CEASERSTINE COUNTER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</si>
</sst>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0" fillId="6" borderId="0" xfId="0" applyFill="1"/>
    <xf numFmtId="0" fontId="1" fillId="7" borderId="0" xfId="0" applyFont="1" applyFill="1"/>
    <xf numFmtId="0" fontId="1" fillId="8" borderId="0" xfId="0" applyFont="1" applyFill="1"/>
    <xf numFmtId="0" fontId="0" fillId="0" borderId="1" xfId="0" applyFont="1" applyBorder="1"/>
    <xf numFmtId="0" fontId="0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497054</xdr:colOff>
      <xdr:row>25</xdr:row>
      <xdr:rowOff>57168</xdr:rowOff>
    </xdr:from>
    <xdr:to>
      <xdr:col>37</xdr:col>
      <xdr:colOff>75622</xdr:colOff>
      <xdr:row>47</xdr:row>
      <xdr:rowOff>172648</xdr:rowOff>
    </xdr:to>
    <xdr:pic>
      <xdr:nvPicPr>
        <xdr:cNvPr id="22" name="Picture 5">
          <a:extLst>
            <a:ext uri="{FF2B5EF4-FFF2-40B4-BE49-F238E27FC236}">
              <a16:creationId xmlns:a16="http://schemas.microsoft.com/office/drawing/2014/main" id="{549AC92D-9763-2899-C7ED-756EF7F7506B}"/>
            </a:ext>
            <a:ext uri="{147F2762-F138-4A5C-976F-8EAC2B608ADB}">
              <a16:predDERef xmlns:a16="http://schemas.microsoft.com/office/drawing/2014/main" pred="{EEF98108-5C42-30BA-5826-C822A507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95347" y="2542961"/>
          <a:ext cx="11659055" cy="4204260"/>
        </a:xfrm>
        <a:prstGeom prst="rect">
          <a:avLst/>
        </a:prstGeom>
      </xdr:spPr>
    </xdr:pic>
    <xdr:clientData/>
  </xdr:twoCellAnchor>
  <xdr:twoCellAnchor editAs="oneCell">
    <xdr:from>
      <xdr:col>17</xdr:col>
      <xdr:colOff>581934</xdr:colOff>
      <xdr:row>2</xdr:row>
      <xdr:rowOff>178238</xdr:rowOff>
    </xdr:from>
    <xdr:to>
      <xdr:col>33</xdr:col>
      <xdr:colOff>527578</xdr:colOff>
      <xdr:row>12</xdr:row>
      <xdr:rowOff>111614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4150E7A-B1C1-34B8-7871-E58CEDD0B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0227" y="619640"/>
          <a:ext cx="9610035" cy="1796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85636-628E-4C77-B38D-E064533F475B}" name="Table1" displayName="Table1" ref="A1:P88" totalsRowShown="0">
  <autoFilter ref="A1:P88" xr:uid="{F7B85636-628E-4C77-B38D-E064533F475B}">
    <filterColumn colId="5">
      <filters>
        <filter val="SPEC PLA-12"/>
        <filter val="SPEC PLA-15"/>
        <filter val="SPEC PLA-20"/>
        <filter val="SPEC PLA-30"/>
        <filter val="SPEC PLA-40"/>
        <filter val="SPEC PLA-6"/>
        <filter val="SPEC PLA-8"/>
      </filters>
    </filterColumn>
  </autoFilter>
  <tableColumns count="16">
    <tableColumn id="1" xr3:uid="{8791BF41-1EBE-42E1-B482-270CD6970D50}" name="quoteNumber"/>
    <tableColumn id="2" xr3:uid="{C4DFAFF4-329C-453E-B4E2-5776F46567D0}" name="orderDate" dataDxfId="0"/>
    <tableColumn id="3" xr3:uid="{C61FAB43-4C60-4131-86F0-567F59A4AF21}" name="turnAroundDays"/>
    <tableColumn id="4" xr3:uid="{565A510B-D8F2-40E7-956E-2CD70D929809}" name="partID"/>
    <tableColumn id="5" xr3:uid="{C58A60A7-17CD-402F-A7AB-8497194870CF}" name="partDescription"/>
    <tableColumn id="6" xr3:uid="{12102F58-DB2C-40D6-889E-48FA66532774}" name="materialCode"/>
    <tableColumn id="7" xr3:uid="{EBC474C2-6541-4A05-97DC-E00FA21C761A}" name="quantity"/>
    <tableColumn id="8" xr3:uid="{93B39F17-B2AF-4E2C-A26D-68E6524C48CA}" name="cutting length (mm)"/>
    <tableColumn id="9" xr3:uid="{2814345D-DF6B-4573-9C60-26AE2D96EDC3}" name="numPierces"/>
    <tableColumn id="10" xr3:uid="{5DFC6EB1-BD77-4876-9D4F-3410509B0482}" name="thickness"/>
    <tableColumn id="11" xr3:uid="{FEE51703-4C85-4622-AE1F-DED20330BBE8}" name="setupTime (min)"/>
    <tableColumn id="12" xr3:uid="{6CBFDDF0-7C84-41A1-B820-4F058725F906}" name="drillingRate (s)"/>
    <tableColumn id="13" xr3:uid="{9E0DABC0-0790-42A5-942B-FDF968B47181}" name="totalDrillTime (min)">
      <calculatedColumnFormula>(L2*I2)/60</calculatedColumnFormula>
    </tableColumn>
    <tableColumn id="14" xr3:uid="{4108D699-D502-4922-8A3F-AF426608F8EA}" name="cuttingRate (mm/min)"/>
    <tableColumn id="15" xr3:uid="{51632911-DA52-43DA-832B-BF8C258984B8}" name="cuttingTime (min)">
      <calculatedColumnFormula>H2/N2</calculatedColumnFormula>
    </tableColumn>
    <tableColumn id="16" xr3:uid="{BF0E14F7-BF58-4F4B-A705-D32CA5372803}" name="actualTime (min)">
      <calculatedColumnFormula>O2+M2+K2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tabSelected="1" zoomScale="87" workbookViewId="0">
      <selection activeCell="B75" sqref="B75"/>
    </sheetView>
  </sheetViews>
  <sheetFormatPr defaultRowHeight="15" x14ac:dyDescent="0.25"/>
  <cols>
    <col min="1" max="1" width="27.7109375" customWidth="1"/>
    <col min="2" max="2" width="22.28515625" style="6" bestFit="1" customWidth="1"/>
    <col min="3" max="3" width="33" customWidth="1"/>
    <col min="4" max="4" width="15.42578125" customWidth="1"/>
    <col min="5" max="5" width="32.5703125" customWidth="1"/>
    <col min="6" max="6" width="27.7109375" customWidth="1"/>
    <col min="7" max="7" width="18.7109375" customWidth="1"/>
    <col min="8" max="8" width="38.85546875" customWidth="1"/>
    <col min="9" max="9" width="23.85546875" customWidth="1"/>
    <col min="10" max="10" width="20.5703125" customWidth="1"/>
    <col min="11" max="11" width="32.5703125" customWidth="1"/>
    <col min="12" max="12" width="31.7109375" customWidth="1"/>
    <col min="13" max="13" width="39.28515625" customWidth="1"/>
    <col min="14" max="14" width="42.42578125" customWidth="1"/>
    <col min="15" max="15" width="35.28515625" customWidth="1"/>
    <col min="16" max="16" width="33.28515625" customWidth="1"/>
    <col min="17" max="17" width="44.85546875" bestFit="1" customWidth="1"/>
  </cols>
  <sheetData>
    <row r="1" spans="1:17" ht="21" x14ac:dyDescent="0.35">
      <c r="A1" s="1" t="s">
        <v>0</v>
      </c>
      <c r="B1" s="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9" t="s">
        <v>10</v>
      </c>
      <c r="L1" s="4" t="s">
        <v>11</v>
      </c>
      <c r="M1" s="9" t="s">
        <v>12</v>
      </c>
      <c r="N1" s="4" t="s">
        <v>13</v>
      </c>
      <c r="O1" s="9" t="s">
        <v>14</v>
      </c>
      <c r="P1" s="8" t="s">
        <v>15</v>
      </c>
      <c r="Q1" s="1" t="s">
        <v>16</v>
      </c>
    </row>
    <row r="2" spans="1:17" x14ac:dyDescent="0.25">
      <c r="A2" t="s">
        <v>17</v>
      </c>
      <c r="B2" s="6">
        <v>45317</v>
      </c>
      <c r="C2">
        <v>5</v>
      </c>
      <c r="D2">
        <v>28392</v>
      </c>
      <c r="E2" t="s">
        <v>18</v>
      </c>
      <c r="F2" t="s">
        <v>19</v>
      </c>
      <c r="G2">
        <v>2</v>
      </c>
      <c r="H2">
        <v>925</v>
      </c>
      <c r="I2">
        <v>9</v>
      </c>
      <c r="J2">
        <v>5</v>
      </c>
      <c r="K2">
        <v>10</v>
      </c>
      <c r="L2">
        <v>1</v>
      </c>
      <c r="M2">
        <f t="shared" ref="M2:M41" si="0">(L2*I2)/60</f>
        <v>0.15</v>
      </c>
      <c r="N2">
        <v>280</v>
      </c>
      <c r="O2">
        <f t="shared" ref="O2:O41" si="1">H2/N2</f>
        <v>3.3035714285714284</v>
      </c>
      <c r="P2">
        <f t="shared" ref="P2:P41" si="2">O2+M2+K2</f>
        <v>13.453571428571429</v>
      </c>
      <c r="Q2" s="7"/>
    </row>
    <row r="3" spans="1:17" x14ac:dyDescent="0.25">
      <c r="A3" t="s">
        <v>20</v>
      </c>
      <c r="B3" s="6">
        <v>45392</v>
      </c>
      <c r="C3">
        <v>1</v>
      </c>
      <c r="D3">
        <v>28837</v>
      </c>
      <c r="E3" t="s">
        <v>21</v>
      </c>
      <c r="F3" t="s">
        <v>22</v>
      </c>
      <c r="G3">
        <v>2</v>
      </c>
      <c r="H3">
        <v>525</v>
      </c>
      <c r="I3">
        <v>1</v>
      </c>
      <c r="J3">
        <v>8</v>
      </c>
      <c r="K3">
        <v>10</v>
      </c>
      <c r="L3">
        <v>2</v>
      </c>
      <c r="M3">
        <f t="shared" si="0"/>
        <v>3.3333333333333333E-2</v>
      </c>
      <c r="N3">
        <v>200</v>
      </c>
      <c r="O3">
        <f t="shared" si="1"/>
        <v>2.625</v>
      </c>
      <c r="P3">
        <f t="shared" si="2"/>
        <v>12.658333333333333</v>
      </c>
      <c r="Q3" s="7"/>
    </row>
    <row r="4" spans="1:17" x14ac:dyDescent="0.25">
      <c r="A4" t="s">
        <v>23</v>
      </c>
      <c r="B4" s="6">
        <v>45365</v>
      </c>
      <c r="C4">
        <v>7</v>
      </c>
      <c r="D4">
        <v>28674</v>
      </c>
      <c r="E4" t="s">
        <v>24</v>
      </c>
      <c r="F4" t="s">
        <v>25</v>
      </c>
      <c r="G4">
        <v>1</v>
      </c>
      <c r="H4">
        <v>625</v>
      </c>
      <c r="I4">
        <v>4</v>
      </c>
      <c r="J4">
        <v>10</v>
      </c>
      <c r="K4">
        <v>15</v>
      </c>
      <c r="L4">
        <v>5</v>
      </c>
      <c r="M4">
        <f t="shared" si="0"/>
        <v>0.33333333333333331</v>
      </c>
      <c r="N4">
        <v>140</v>
      </c>
      <c r="O4">
        <f t="shared" si="1"/>
        <v>4.4642857142857144</v>
      </c>
      <c r="P4">
        <f t="shared" si="2"/>
        <v>19.797619047619047</v>
      </c>
      <c r="Q4" s="7"/>
    </row>
    <row r="5" spans="1:17" x14ac:dyDescent="0.25">
      <c r="A5" t="s">
        <v>23</v>
      </c>
      <c r="B5" s="6">
        <v>45365</v>
      </c>
      <c r="C5">
        <v>7</v>
      </c>
      <c r="D5">
        <v>28673</v>
      </c>
      <c r="E5" t="s">
        <v>26</v>
      </c>
      <c r="F5" t="s">
        <v>25</v>
      </c>
      <c r="G5">
        <v>1</v>
      </c>
      <c r="H5">
        <v>575</v>
      </c>
      <c r="I5">
        <v>1</v>
      </c>
      <c r="J5">
        <v>10</v>
      </c>
      <c r="K5">
        <v>15</v>
      </c>
      <c r="L5">
        <v>5</v>
      </c>
      <c r="M5">
        <f t="shared" si="0"/>
        <v>8.3333333333333329E-2</v>
      </c>
      <c r="N5">
        <v>140</v>
      </c>
      <c r="O5">
        <f t="shared" si="1"/>
        <v>4.1071428571428568</v>
      </c>
      <c r="P5">
        <f t="shared" si="2"/>
        <v>19.19047619047619</v>
      </c>
      <c r="Q5" s="7"/>
    </row>
    <row r="6" spans="1:17" x14ac:dyDescent="0.25">
      <c r="A6" t="s">
        <v>27</v>
      </c>
      <c r="B6" s="6">
        <v>44732</v>
      </c>
      <c r="C6">
        <v>10</v>
      </c>
      <c r="D6">
        <v>20722</v>
      </c>
      <c r="E6" t="s">
        <v>28</v>
      </c>
      <c r="F6" t="s">
        <v>29</v>
      </c>
      <c r="G6">
        <v>6</v>
      </c>
      <c r="H6">
        <v>1420</v>
      </c>
      <c r="I6">
        <v>1</v>
      </c>
      <c r="J6">
        <v>12</v>
      </c>
      <c r="K6">
        <v>15</v>
      </c>
      <c r="L6">
        <v>5</v>
      </c>
      <c r="M6">
        <f t="shared" si="0"/>
        <v>8.3333333333333329E-2</v>
      </c>
      <c r="N6">
        <v>110</v>
      </c>
      <c r="O6">
        <f t="shared" si="1"/>
        <v>12.909090909090908</v>
      </c>
      <c r="P6">
        <f t="shared" si="2"/>
        <v>27.992424242424242</v>
      </c>
      <c r="Q6" s="7"/>
    </row>
    <row r="7" spans="1:17" x14ac:dyDescent="0.25">
      <c r="A7" t="s">
        <v>27</v>
      </c>
      <c r="B7" s="6">
        <v>45463</v>
      </c>
      <c r="C7">
        <v>10</v>
      </c>
      <c r="D7">
        <v>20723</v>
      </c>
      <c r="E7" t="s">
        <v>30</v>
      </c>
      <c r="F7" t="s">
        <v>31</v>
      </c>
      <c r="G7">
        <v>3</v>
      </c>
      <c r="H7">
        <v>600</v>
      </c>
      <c r="I7">
        <v>1</v>
      </c>
      <c r="J7">
        <v>25</v>
      </c>
      <c r="K7">
        <v>20</v>
      </c>
      <c r="L7">
        <v>15</v>
      </c>
      <c r="M7">
        <f t="shared" si="0"/>
        <v>0.25</v>
      </c>
      <c r="N7">
        <v>50</v>
      </c>
      <c r="O7">
        <f t="shared" si="1"/>
        <v>12</v>
      </c>
      <c r="P7">
        <f t="shared" si="2"/>
        <v>32.25</v>
      </c>
      <c r="Q7" s="7"/>
    </row>
    <row r="8" spans="1:17" x14ac:dyDescent="0.25">
      <c r="A8" t="s">
        <v>32</v>
      </c>
      <c r="B8" s="6">
        <v>45634</v>
      </c>
      <c r="C8">
        <v>3</v>
      </c>
      <c r="D8">
        <v>29508</v>
      </c>
      <c r="E8" t="s">
        <v>33</v>
      </c>
      <c r="F8" t="s">
        <v>34</v>
      </c>
      <c r="G8">
        <v>6</v>
      </c>
      <c r="H8">
        <v>1755</v>
      </c>
      <c r="I8">
        <v>12</v>
      </c>
      <c r="J8">
        <v>16</v>
      </c>
      <c r="K8">
        <v>15</v>
      </c>
      <c r="L8">
        <v>5</v>
      </c>
      <c r="M8">
        <f t="shared" si="0"/>
        <v>1</v>
      </c>
      <c r="N8">
        <v>80</v>
      </c>
      <c r="O8">
        <f t="shared" si="1"/>
        <v>21.9375</v>
      </c>
      <c r="P8">
        <f t="shared" si="2"/>
        <v>37.9375</v>
      </c>
      <c r="Q8" s="7"/>
    </row>
    <row r="9" spans="1:17" x14ac:dyDescent="0.25">
      <c r="A9" t="s">
        <v>35</v>
      </c>
      <c r="B9" s="6">
        <v>45590</v>
      </c>
      <c r="C9">
        <v>7</v>
      </c>
      <c r="D9">
        <v>30058</v>
      </c>
      <c r="E9" t="s">
        <v>36</v>
      </c>
      <c r="F9" t="s">
        <v>37</v>
      </c>
      <c r="G9">
        <v>8</v>
      </c>
      <c r="H9">
        <v>1645</v>
      </c>
      <c r="I9">
        <v>10</v>
      </c>
      <c r="J9">
        <v>20</v>
      </c>
      <c r="K9">
        <v>20</v>
      </c>
      <c r="L9">
        <v>10</v>
      </c>
      <c r="M9">
        <f t="shared" si="0"/>
        <v>1.6666666666666667</v>
      </c>
      <c r="N9">
        <v>60</v>
      </c>
      <c r="O9">
        <f t="shared" si="1"/>
        <v>27.416666666666668</v>
      </c>
      <c r="P9">
        <f t="shared" si="2"/>
        <v>49.083333333333336</v>
      </c>
      <c r="Q9" s="7"/>
    </row>
    <row r="10" spans="1:17" x14ac:dyDescent="0.25">
      <c r="A10" t="s">
        <v>35</v>
      </c>
      <c r="B10" s="6">
        <v>45590</v>
      </c>
      <c r="C10">
        <v>7</v>
      </c>
      <c r="D10">
        <v>30059</v>
      </c>
      <c r="E10" t="s">
        <v>38</v>
      </c>
      <c r="F10" t="s">
        <v>31</v>
      </c>
      <c r="G10">
        <v>8</v>
      </c>
      <c r="H10">
        <v>675</v>
      </c>
      <c r="I10">
        <v>2</v>
      </c>
      <c r="J10">
        <v>25</v>
      </c>
      <c r="K10">
        <v>20</v>
      </c>
      <c r="L10">
        <v>15</v>
      </c>
      <c r="M10">
        <f t="shared" si="0"/>
        <v>0.5</v>
      </c>
      <c r="N10">
        <v>50</v>
      </c>
      <c r="O10">
        <f t="shared" si="1"/>
        <v>13.5</v>
      </c>
      <c r="P10">
        <f t="shared" si="2"/>
        <v>34</v>
      </c>
      <c r="Q10" s="7"/>
    </row>
    <row r="11" spans="1:17" x14ac:dyDescent="0.25">
      <c r="A11" t="s">
        <v>39</v>
      </c>
      <c r="B11" s="6">
        <v>45362</v>
      </c>
      <c r="C11">
        <v>7</v>
      </c>
      <c r="D11">
        <v>28628</v>
      </c>
      <c r="E11" t="s">
        <v>40</v>
      </c>
      <c r="F11" t="s">
        <v>41</v>
      </c>
      <c r="G11">
        <v>1</v>
      </c>
      <c r="H11">
        <v>3095</v>
      </c>
      <c r="I11">
        <v>16</v>
      </c>
      <c r="J11">
        <v>30</v>
      </c>
      <c r="K11">
        <v>25</v>
      </c>
      <c r="L11">
        <v>20</v>
      </c>
      <c r="M11">
        <f t="shared" si="0"/>
        <v>5.333333333333333</v>
      </c>
      <c r="N11">
        <v>40</v>
      </c>
      <c r="O11">
        <f t="shared" si="1"/>
        <v>77.375</v>
      </c>
      <c r="P11">
        <f t="shared" si="2"/>
        <v>107.70833333333333</v>
      </c>
      <c r="Q11" s="7"/>
    </row>
    <row r="12" spans="1:17" x14ac:dyDescent="0.25">
      <c r="A12" t="s">
        <v>42</v>
      </c>
      <c r="B12" s="6">
        <v>45219</v>
      </c>
      <c r="C12">
        <v>5</v>
      </c>
      <c r="D12">
        <v>27996</v>
      </c>
      <c r="E12" t="s">
        <v>43</v>
      </c>
      <c r="F12" t="s">
        <v>44</v>
      </c>
      <c r="G12">
        <v>4</v>
      </c>
      <c r="H12">
        <v>340</v>
      </c>
      <c r="I12">
        <v>1</v>
      </c>
      <c r="J12">
        <v>40</v>
      </c>
      <c r="K12">
        <v>25</v>
      </c>
      <c r="L12">
        <v>40</v>
      </c>
      <c r="M12">
        <f t="shared" si="0"/>
        <v>0.66666666666666663</v>
      </c>
      <c r="N12">
        <v>22</v>
      </c>
      <c r="O12">
        <f t="shared" si="1"/>
        <v>15.454545454545455</v>
      </c>
      <c r="P12">
        <f t="shared" si="2"/>
        <v>41.121212121212125</v>
      </c>
      <c r="Q12" s="7"/>
    </row>
    <row r="13" spans="1:17" x14ac:dyDescent="0.25">
      <c r="A13" t="s">
        <v>45</v>
      </c>
      <c r="B13" s="6">
        <v>45440</v>
      </c>
      <c r="C13">
        <v>4</v>
      </c>
      <c r="D13">
        <v>29111</v>
      </c>
      <c r="E13" t="s">
        <v>46</v>
      </c>
      <c r="F13" t="s">
        <v>47</v>
      </c>
      <c r="G13">
        <v>1</v>
      </c>
      <c r="H13">
        <v>7550</v>
      </c>
      <c r="I13">
        <v>43</v>
      </c>
      <c r="J13">
        <v>6</v>
      </c>
      <c r="K13">
        <v>10</v>
      </c>
      <c r="L13">
        <v>10</v>
      </c>
      <c r="M13">
        <f t="shared" si="0"/>
        <v>7.166666666666667</v>
      </c>
      <c r="N13">
        <v>250</v>
      </c>
      <c r="O13">
        <f>H13/N13</f>
        <v>30.2</v>
      </c>
      <c r="P13">
        <f>O13+M13+K13</f>
        <v>47.366666666666667</v>
      </c>
      <c r="Q13" s="7"/>
    </row>
    <row r="14" spans="1:17" x14ac:dyDescent="0.25">
      <c r="A14" t="s">
        <v>48</v>
      </c>
      <c r="B14" s="6">
        <v>45541</v>
      </c>
      <c r="C14">
        <v>5</v>
      </c>
      <c r="D14">
        <v>29737</v>
      </c>
      <c r="E14" t="s">
        <v>49</v>
      </c>
      <c r="F14" t="s">
        <v>47</v>
      </c>
      <c r="G14">
        <v>6</v>
      </c>
      <c r="H14">
        <v>700</v>
      </c>
      <c r="I14">
        <v>1</v>
      </c>
      <c r="J14">
        <v>6</v>
      </c>
      <c r="K14">
        <v>10</v>
      </c>
      <c r="L14">
        <v>10</v>
      </c>
      <c r="M14">
        <f>(L14*I14)/60</f>
        <v>0.16666666666666666</v>
      </c>
      <c r="N14">
        <v>250</v>
      </c>
      <c r="O14">
        <f>H14/N14</f>
        <v>2.8</v>
      </c>
      <c r="P14">
        <f>O14+M14+K14</f>
        <v>12.966666666666667</v>
      </c>
      <c r="Q14" s="7"/>
    </row>
    <row r="15" spans="1:17" x14ac:dyDescent="0.25">
      <c r="A15" t="s">
        <v>50</v>
      </c>
      <c r="B15" s="6">
        <v>45485</v>
      </c>
      <c r="C15">
        <v>5</v>
      </c>
      <c r="D15">
        <v>29339</v>
      </c>
      <c r="E15" t="s">
        <v>51</v>
      </c>
      <c r="F15" t="s">
        <v>47</v>
      </c>
      <c r="G15">
        <v>1</v>
      </c>
      <c r="H15">
        <v>26230</v>
      </c>
      <c r="I15">
        <v>170</v>
      </c>
      <c r="J15">
        <v>6</v>
      </c>
      <c r="K15">
        <v>10</v>
      </c>
      <c r="L15">
        <v>10</v>
      </c>
      <c r="M15">
        <f>(L15*I15)/60</f>
        <v>28.333333333333332</v>
      </c>
      <c r="N15">
        <v>250</v>
      </c>
      <c r="O15">
        <f>H15/N15</f>
        <v>104.92</v>
      </c>
      <c r="P15">
        <f>O15+M15+K15</f>
        <v>143.25333333333333</v>
      </c>
      <c r="Q15" s="7"/>
    </row>
    <row r="16" spans="1:17" x14ac:dyDescent="0.25">
      <c r="A16" t="s">
        <v>52</v>
      </c>
      <c r="B16" s="6">
        <v>45329</v>
      </c>
      <c r="C16">
        <v>3</v>
      </c>
      <c r="D16">
        <v>28472</v>
      </c>
      <c r="E16" t="s">
        <v>53</v>
      </c>
      <c r="F16" t="s">
        <v>22</v>
      </c>
      <c r="G16">
        <v>2</v>
      </c>
      <c r="H16">
        <v>1740</v>
      </c>
      <c r="I16">
        <v>2</v>
      </c>
      <c r="J16">
        <v>8</v>
      </c>
      <c r="K16">
        <v>5</v>
      </c>
      <c r="L16">
        <v>2</v>
      </c>
      <c r="M16">
        <f t="shared" ref="M16:M17" si="3">(L16*I16)/60</f>
        <v>6.6666666666666666E-2</v>
      </c>
      <c r="N16">
        <v>180</v>
      </c>
      <c r="O16">
        <f t="shared" ref="O16:O23" si="4">H16/N16</f>
        <v>9.6666666666666661</v>
      </c>
      <c r="P16">
        <f t="shared" ref="P16:P23" si="5">O16+M16+K16</f>
        <v>14.733333333333333</v>
      </c>
      <c r="Q16" s="7"/>
    </row>
    <row r="17" spans="1:17" x14ac:dyDescent="0.25">
      <c r="A17" t="s">
        <v>20</v>
      </c>
      <c r="B17" s="6">
        <v>45392</v>
      </c>
      <c r="C17">
        <v>1</v>
      </c>
      <c r="D17">
        <v>28836</v>
      </c>
      <c r="E17" t="s">
        <v>54</v>
      </c>
      <c r="F17" t="s">
        <v>22</v>
      </c>
      <c r="G17">
        <v>4</v>
      </c>
      <c r="H17">
        <v>520</v>
      </c>
      <c r="I17">
        <v>1</v>
      </c>
      <c r="J17">
        <v>8</v>
      </c>
      <c r="K17">
        <v>5</v>
      </c>
      <c r="L17">
        <v>2</v>
      </c>
      <c r="M17">
        <f t="shared" si="3"/>
        <v>3.3333333333333333E-2</v>
      </c>
      <c r="N17">
        <v>180</v>
      </c>
      <c r="O17">
        <f t="shared" si="4"/>
        <v>2.8888888888888888</v>
      </c>
      <c r="P17">
        <f t="shared" si="5"/>
        <v>7.9222222222222225</v>
      </c>
      <c r="Q17" s="7"/>
    </row>
    <row r="18" spans="1:17" x14ac:dyDescent="0.25">
      <c r="A18" t="s">
        <v>55</v>
      </c>
      <c r="B18" s="6">
        <v>45404</v>
      </c>
      <c r="C18">
        <v>3</v>
      </c>
      <c r="D18">
        <v>28894</v>
      </c>
      <c r="E18" t="s">
        <v>56</v>
      </c>
      <c r="F18" t="s">
        <v>22</v>
      </c>
      <c r="G18">
        <v>1</v>
      </c>
      <c r="H18">
        <v>1640</v>
      </c>
      <c r="I18">
        <v>9</v>
      </c>
      <c r="J18">
        <v>8</v>
      </c>
      <c r="K18">
        <v>5</v>
      </c>
      <c r="L18">
        <v>2</v>
      </c>
      <c r="M18">
        <f t="shared" ref="M18:M23" si="6">(L18*I18)/60</f>
        <v>0.3</v>
      </c>
      <c r="N18">
        <v>180</v>
      </c>
      <c r="O18">
        <f t="shared" ref="O18:O22" si="7">H18/N18</f>
        <v>9.1111111111111107</v>
      </c>
      <c r="P18">
        <f t="shared" ref="P18:P22" si="8">O18+M18+K18</f>
        <v>14.411111111111111</v>
      </c>
      <c r="Q18" s="7"/>
    </row>
    <row r="19" spans="1:17" x14ac:dyDescent="0.25">
      <c r="A19" t="s">
        <v>57</v>
      </c>
      <c r="B19" s="6">
        <v>45533</v>
      </c>
      <c r="C19">
        <v>5</v>
      </c>
      <c r="D19">
        <v>29664</v>
      </c>
      <c r="E19" t="s">
        <v>58</v>
      </c>
      <c r="F19" t="s">
        <v>22</v>
      </c>
      <c r="G19">
        <v>1</v>
      </c>
      <c r="H19">
        <v>17400</v>
      </c>
      <c r="I19">
        <v>481</v>
      </c>
      <c r="J19">
        <v>8</v>
      </c>
      <c r="K19">
        <v>5</v>
      </c>
      <c r="L19">
        <v>2</v>
      </c>
      <c r="M19">
        <f t="shared" si="6"/>
        <v>16.033333333333335</v>
      </c>
      <c r="N19">
        <v>180</v>
      </c>
      <c r="O19">
        <f t="shared" si="7"/>
        <v>96.666666666666671</v>
      </c>
      <c r="P19">
        <f t="shared" si="8"/>
        <v>117.7</v>
      </c>
      <c r="Q19" s="7"/>
    </row>
    <row r="20" spans="1:17" x14ac:dyDescent="0.25">
      <c r="A20" t="s">
        <v>59</v>
      </c>
      <c r="B20" s="6">
        <v>45678</v>
      </c>
      <c r="C20">
        <v>10</v>
      </c>
      <c r="D20">
        <v>18173</v>
      </c>
      <c r="E20" t="s">
        <v>60</v>
      </c>
      <c r="F20" t="s">
        <v>22</v>
      </c>
      <c r="G20">
        <v>34</v>
      </c>
      <c r="H20">
        <v>4935</v>
      </c>
      <c r="I20">
        <v>10</v>
      </c>
      <c r="J20">
        <v>8</v>
      </c>
      <c r="K20">
        <v>5</v>
      </c>
      <c r="L20">
        <v>2</v>
      </c>
      <c r="M20">
        <f t="shared" si="6"/>
        <v>0.33333333333333331</v>
      </c>
      <c r="N20">
        <v>180</v>
      </c>
      <c r="O20">
        <f t="shared" si="7"/>
        <v>27.416666666666668</v>
      </c>
      <c r="P20">
        <f t="shared" si="8"/>
        <v>32.75</v>
      </c>
      <c r="Q20" s="7"/>
    </row>
    <row r="21" spans="1:17" x14ac:dyDescent="0.25">
      <c r="A21" t="s">
        <v>61</v>
      </c>
      <c r="B21" s="6">
        <v>45330</v>
      </c>
      <c r="C21">
        <v>3</v>
      </c>
      <c r="D21">
        <v>28466</v>
      </c>
      <c r="E21" t="s">
        <v>62</v>
      </c>
      <c r="F21" t="s">
        <v>34</v>
      </c>
      <c r="G21">
        <v>20</v>
      </c>
      <c r="H21">
        <v>295</v>
      </c>
      <c r="I21">
        <v>1</v>
      </c>
      <c r="J21">
        <v>16</v>
      </c>
      <c r="K21">
        <v>15</v>
      </c>
      <c r="L21">
        <v>16</v>
      </c>
      <c r="M21">
        <f t="shared" si="6"/>
        <v>0.26666666666666666</v>
      </c>
      <c r="N21">
        <v>70</v>
      </c>
      <c r="O21">
        <f t="shared" si="7"/>
        <v>4.2142857142857144</v>
      </c>
      <c r="P21">
        <f t="shared" si="8"/>
        <v>19.480952380952381</v>
      </c>
      <c r="Q21" s="7"/>
    </row>
    <row r="22" spans="1:17" x14ac:dyDescent="0.25">
      <c r="A22" t="s">
        <v>63</v>
      </c>
      <c r="B22" s="6">
        <v>45345</v>
      </c>
      <c r="C22">
        <v>7</v>
      </c>
      <c r="D22">
        <v>28565</v>
      </c>
      <c r="E22" t="s">
        <v>64</v>
      </c>
      <c r="F22" t="s">
        <v>34</v>
      </c>
      <c r="G22">
        <v>2</v>
      </c>
      <c r="H22">
        <v>1500</v>
      </c>
      <c r="I22">
        <v>2</v>
      </c>
      <c r="J22">
        <v>16</v>
      </c>
      <c r="K22">
        <v>15</v>
      </c>
      <c r="L22">
        <v>16</v>
      </c>
      <c r="M22">
        <f t="shared" si="6"/>
        <v>0.53333333333333333</v>
      </c>
      <c r="N22">
        <v>70</v>
      </c>
      <c r="O22">
        <f t="shared" si="7"/>
        <v>21.428571428571427</v>
      </c>
      <c r="P22">
        <f t="shared" si="8"/>
        <v>36.961904761904762</v>
      </c>
      <c r="Q22" s="7"/>
    </row>
    <row r="23" spans="1:17" x14ac:dyDescent="0.25">
      <c r="A23" t="s">
        <v>65</v>
      </c>
      <c r="B23" s="6">
        <v>45406</v>
      </c>
      <c r="C23">
        <v>5</v>
      </c>
      <c r="D23">
        <v>28920</v>
      </c>
      <c r="E23" t="s">
        <v>66</v>
      </c>
      <c r="F23" t="s">
        <v>34</v>
      </c>
      <c r="G23">
        <v>1</v>
      </c>
      <c r="H23">
        <v>1500</v>
      </c>
      <c r="I23">
        <v>6</v>
      </c>
      <c r="J23">
        <v>16</v>
      </c>
      <c r="K23">
        <v>15</v>
      </c>
      <c r="L23">
        <v>16</v>
      </c>
      <c r="M23">
        <f t="shared" si="6"/>
        <v>1.6</v>
      </c>
      <c r="N23">
        <v>70</v>
      </c>
      <c r="O23">
        <f t="shared" si="4"/>
        <v>21.428571428571427</v>
      </c>
      <c r="P23">
        <f t="shared" si="5"/>
        <v>38.028571428571425</v>
      </c>
      <c r="Q23" s="7"/>
    </row>
    <row r="24" spans="1:17" x14ac:dyDescent="0.25">
      <c r="A24" t="s">
        <v>67</v>
      </c>
      <c r="B24" s="6">
        <v>45842</v>
      </c>
      <c r="C24">
        <v>3</v>
      </c>
      <c r="D24">
        <v>31921</v>
      </c>
      <c r="E24" t="s">
        <v>68</v>
      </c>
      <c r="F24" t="s">
        <v>34</v>
      </c>
      <c r="G24">
        <v>4</v>
      </c>
      <c r="H24">
        <v>525</v>
      </c>
      <c r="I24">
        <v>2</v>
      </c>
      <c r="J24">
        <v>16</v>
      </c>
      <c r="K24">
        <v>15</v>
      </c>
      <c r="L24">
        <v>16</v>
      </c>
      <c r="M24">
        <f t="shared" ref="M24" si="9">(L24*I24)/60</f>
        <v>0.53333333333333333</v>
      </c>
      <c r="N24">
        <v>70</v>
      </c>
      <c r="O24">
        <f t="shared" ref="O24" si="10">H24/N24</f>
        <v>7.5</v>
      </c>
      <c r="P24">
        <f t="shared" ref="P24" si="11">O24+M24+K24</f>
        <v>23.033333333333331</v>
      </c>
      <c r="Q24" s="7"/>
    </row>
    <row r="25" spans="1:17" x14ac:dyDescent="0.25">
      <c r="A25" t="s">
        <v>69</v>
      </c>
      <c r="B25" s="6">
        <v>45422</v>
      </c>
      <c r="C25">
        <v>7</v>
      </c>
      <c r="D25">
        <v>28377</v>
      </c>
      <c r="E25" t="s">
        <v>70</v>
      </c>
      <c r="F25" t="s">
        <v>71</v>
      </c>
      <c r="G25">
        <v>2</v>
      </c>
      <c r="H25">
        <v>1600</v>
      </c>
      <c r="I25">
        <v>2</v>
      </c>
      <c r="J25">
        <v>6</v>
      </c>
      <c r="K25">
        <v>8</v>
      </c>
      <c r="L25">
        <v>8</v>
      </c>
      <c r="M25">
        <f t="shared" si="0"/>
        <v>0.26666666666666666</v>
      </c>
      <c r="N25">
        <v>650</v>
      </c>
      <c r="O25">
        <f t="shared" si="1"/>
        <v>2.4615384615384617</v>
      </c>
      <c r="P25">
        <f t="shared" si="2"/>
        <v>10.728205128205129</v>
      </c>
      <c r="Q25" s="7"/>
    </row>
    <row r="26" spans="1:17" x14ac:dyDescent="0.25">
      <c r="A26" t="s">
        <v>69</v>
      </c>
      <c r="B26" s="6">
        <v>45423</v>
      </c>
      <c r="C26">
        <v>7</v>
      </c>
      <c r="D26">
        <v>28378</v>
      </c>
      <c r="E26" t="s">
        <v>72</v>
      </c>
      <c r="F26" t="s">
        <v>73</v>
      </c>
      <c r="G26">
        <v>2</v>
      </c>
      <c r="H26">
        <v>2100</v>
      </c>
      <c r="I26">
        <v>6</v>
      </c>
      <c r="J26">
        <v>4.5</v>
      </c>
      <c r="K26">
        <v>8</v>
      </c>
      <c r="L26">
        <v>8</v>
      </c>
      <c r="M26">
        <f t="shared" si="0"/>
        <v>0.8</v>
      </c>
      <c r="N26">
        <v>900</v>
      </c>
      <c r="O26">
        <f t="shared" si="1"/>
        <v>2.3333333333333335</v>
      </c>
      <c r="P26">
        <f t="shared" si="2"/>
        <v>11.133333333333333</v>
      </c>
      <c r="Q26" s="7"/>
    </row>
    <row r="27" spans="1:17" x14ac:dyDescent="0.25">
      <c r="A27" t="s">
        <v>74</v>
      </c>
      <c r="B27" s="6">
        <v>45602</v>
      </c>
      <c r="C27">
        <v>5</v>
      </c>
      <c r="D27">
        <v>30214</v>
      </c>
      <c r="E27" t="s">
        <v>75</v>
      </c>
      <c r="F27" t="s">
        <v>76</v>
      </c>
      <c r="G27">
        <v>1</v>
      </c>
      <c r="H27">
        <v>2745</v>
      </c>
      <c r="I27">
        <v>10</v>
      </c>
      <c r="J27">
        <v>3</v>
      </c>
      <c r="K27">
        <v>6</v>
      </c>
      <c r="L27">
        <v>6</v>
      </c>
      <c r="M27">
        <f t="shared" si="0"/>
        <v>1</v>
      </c>
      <c r="N27">
        <v>1100</v>
      </c>
      <c r="O27">
        <f t="shared" si="1"/>
        <v>2.4954545454545456</v>
      </c>
      <c r="P27">
        <f t="shared" si="2"/>
        <v>9.495454545454546</v>
      </c>
      <c r="Q27" s="7"/>
    </row>
    <row r="28" spans="1:17" x14ac:dyDescent="0.25">
      <c r="A28" t="s">
        <v>77</v>
      </c>
      <c r="B28" s="6">
        <v>45422</v>
      </c>
      <c r="C28">
        <v>7</v>
      </c>
      <c r="D28">
        <v>29011</v>
      </c>
      <c r="E28" t="s">
        <v>78</v>
      </c>
      <c r="F28" t="s">
        <v>79</v>
      </c>
      <c r="G28">
        <v>2</v>
      </c>
      <c r="H28">
        <v>650</v>
      </c>
      <c r="I28">
        <v>1</v>
      </c>
      <c r="J28">
        <v>8</v>
      </c>
      <c r="K28">
        <v>8</v>
      </c>
      <c r="L28">
        <v>8</v>
      </c>
      <c r="M28">
        <f t="shared" si="0"/>
        <v>0.13333333333333333</v>
      </c>
      <c r="N28">
        <v>550</v>
      </c>
      <c r="O28">
        <f t="shared" si="1"/>
        <v>1.1818181818181819</v>
      </c>
      <c r="P28">
        <f t="shared" si="2"/>
        <v>9.3151515151515145</v>
      </c>
      <c r="Q28" s="7"/>
    </row>
    <row r="29" spans="1:17" x14ac:dyDescent="0.25">
      <c r="A29" t="s">
        <v>80</v>
      </c>
      <c r="B29" s="6">
        <v>45428</v>
      </c>
      <c r="C29">
        <v>7</v>
      </c>
      <c r="D29">
        <v>29054</v>
      </c>
      <c r="E29" t="s">
        <v>81</v>
      </c>
      <c r="F29" t="s">
        <v>82</v>
      </c>
      <c r="G29">
        <v>4</v>
      </c>
      <c r="H29">
        <v>1600</v>
      </c>
      <c r="I29">
        <v>6</v>
      </c>
      <c r="J29">
        <v>10</v>
      </c>
      <c r="K29">
        <v>10</v>
      </c>
      <c r="L29">
        <v>10</v>
      </c>
      <c r="M29">
        <f t="shared" si="0"/>
        <v>1</v>
      </c>
      <c r="N29">
        <v>450</v>
      </c>
      <c r="O29">
        <f t="shared" si="1"/>
        <v>3.5555555555555554</v>
      </c>
      <c r="P29">
        <f t="shared" si="2"/>
        <v>14.555555555555555</v>
      </c>
      <c r="Q29" s="7"/>
    </row>
    <row r="30" spans="1:17" x14ac:dyDescent="0.25">
      <c r="A30" t="s">
        <v>83</v>
      </c>
      <c r="B30" s="6">
        <v>45455</v>
      </c>
      <c r="C30">
        <v>5</v>
      </c>
      <c r="D30">
        <v>29198</v>
      </c>
      <c r="E30" t="s">
        <v>84</v>
      </c>
      <c r="F30" t="s">
        <v>85</v>
      </c>
      <c r="G30">
        <v>2</v>
      </c>
      <c r="H30">
        <v>5400</v>
      </c>
      <c r="I30">
        <v>10</v>
      </c>
      <c r="J30">
        <v>16</v>
      </c>
      <c r="K30">
        <v>10</v>
      </c>
      <c r="L30">
        <v>14</v>
      </c>
      <c r="M30">
        <f t="shared" si="0"/>
        <v>2.3333333333333335</v>
      </c>
      <c r="N30">
        <v>160</v>
      </c>
      <c r="O30">
        <f t="shared" si="1"/>
        <v>33.75</v>
      </c>
      <c r="P30">
        <f t="shared" si="2"/>
        <v>46.083333333333336</v>
      </c>
      <c r="Q30" s="7"/>
    </row>
    <row r="31" spans="1:17" x14ac:dyDescent="0.25">
      <c r="A31" t="s">
        <v>86</v>
      </c>
      <c r="B31" s="6">
        <v>45526</v>
      </c>
      <c r="C31">
        <v>5</v>
      </c>
      <c r="D31">
        <v>29538</v>
      </c>
      <c r="E31" t="s">
        <v>87</v>
      </c>
      <c r="F31" t="s">
        <v>88</v>
      </c>
      <c r="G31">
        <v>1</v>
      </c>
      <c r="H31">
        <v>4350</v>
      </c>
      <c r="I31">
        <v>11</v>
      </c>
      <c r="J31">
        <v>12</v>
      </c>
      <c r="K31">
        <v>10</v>
      </c>
      <c r="L31">
        <v>12</v>
      </c>
      <c r="M31">
        <f t="shared" si="0"/>
        <v>2.2000000000000002</v>
      </c>
      <c r="N31">
        <v>260</v>
      </c>
      <c r="O31">
        <f t="shared" si="1"/>
        <v>16.73076923076923</v>
      </c>
      <c r="P31">
        <f t="shared" si="2"/>
        <v>28.930769230769229</v>
      </c>
      <c r="Q31" s="7"/>
    </row>
    <row r="32" spans="1:17" x14ac:dyDescent="0.25">
      <c r="A32" t="s">
        <v>89</v>
      </c>
      <c r="B32" s="6">
        <v>45434</v>
      </c>
      <c r="C32">
        <v>3</v>
      </c>
      <c r="D32">
        <v>29081</v>
      </c>
      <c r="E32" t="s">
        <v>90</v>
      </c>
      <c r="F32" t="s">
        <v>91</v>
      </c>
      <c r="G32">
        <v>1</v>
      </c>
      <c r="H32">
        <v>1235</v>
      </c>
      <c r="I32">
        <v>4</v>
      </c>
      <c r="J32">
        <v>20</v>
      </c>
      <c r="K32">
        <v>15</v>
      </c>
      <c r="L32">
        <v>16</v>
      </c>
      <c r="M32">
        <f t="shared" si="0"/>
        <v>1.0666666666666667</v>
      </c>
      <c r="N32">
        <v>120</v>
      </c>
      <c r="O32">
        <f t="shared" si="1"/>
        <v>10.291666666666666</v>
      </c>
      <c r="P32">
        <f t="shared" si="2"/>
        <v>26.358333333333334</v>
      </c>
      <c r="Q32" s="7"/>
    </row>
    <row r="33" spans="1:17" x14ac:dyDescent="0.25">
      <c r="A33" t="s">
        <v>92</v>
      </c>
      <c r="B33" s="6">
        <v>45604</v>
      </c>
      <c r="C33">
        <v>3</v>
      </c>
      <c r="D33">
        <v>30239</v>
      </c>
      <c r="E33" t="s">
        <v>93</v>
      </c>
      <c r="F33" t="s">
        <v>94</v>
      </c>
      <c r="G33">
        <v>2</v>
      </c>
      <c r="H33">
        <v>1200</v>
      </c>
      <c r="I33">
        <v>1</v>
      </c>
      <c r="J33">
        <v>25</v>
      </c>
      <c r="K33">
        <v>15</v>
      </c>
      <c r="L33">
        <v>20</v>
      </c>
      <c r="M33">
        <f t="shared" si="0"/>
        <v>0.33333333333333331</v>
      </c>
      <c r="N33">
        <v>80</v>
      </c>
      <c r="O33">
        <f t="shared" si="1"/>
        <v>15</v>
      </c>
      <c r="P33">
        <f t="shared" si="2"/>
        <v>30.333333333333336</v>
      </c>
      <c r="Q33" s="7"/>
    </row>
    <row r="34" spans="1:17" x14ac:dyDescent="0.25">
      <c r="A34" t="s">
        <v>95</v>
      </c>
      <c r="B34" s="6">
        <v>45399</v>
      </c>
      <c r="C34">
        <v>3</v>
      </c>
      <c r="D34">
        <v>28869</v>
      </c>
      <c r="E34" t="s">
        <v>96</v>
      </c>
      <c r="F34" t="s">
        <v>71</v>
      </c>
      <c r="G34">
        <v>2</v>
      </c>
      <c r="H34">
        <v>2850</v>
      </c>
      <c r="I34">
        <v>25</v>
      </c>
      <c r="J34">
        <v>6</v>
      </c>
      <c r="K34">
        <v>8</v>
      </c>
      <c r="L34">
        <v>8</v>
      </c>
      <c r="M34">
        <f t="shared" si="0"/>
        <v>3.3333333333333335</v>
      </c>
      <c r="N34">
        <v>650</v>
      </c>
      <c r="O34">
        <f t="shared" si="1"/>
        <v>4.384615384615385</v>
      </c>
      <c r="P34">
        <f t="shared" si="2"/>
        <v>15.717948717948719</v>
      </c>
      <c r="Q34" s="7"/>
    </row>
    <row r="35" spans="1:17" x14ac:dyDescent="0.25">
      <c r="A35" t="s">
        <v>97</v>
      </c>
      <c r="B35" s="6">
        <v>45491</v>
      </c>
      <c r="C35">
        <v>3</v>
      </c>
      <c r="D35">
        <v>24037</v>
      </c>
      <c r="E35" t="s">
        <v>98</v>
      </c>
      <c r="F35" t="s">
        <v>71</v>
      </c>
      <c r="G35">
        <v>15</v>
      </c>
      <c r="H35">
        <v>725</v>
      </c>
      <c r="I35">
        <v>3</v>
      </c>
      <c r="J35">
        <v>6</v>
      </c>
      <c r="K35">
        <v>8</v>
      </c>
      <c r="L35">
        <v>8</v>
      </c>
      <c r="M35">
        <f t="shared" si="0"/>
        <v>0.4</v>
      </c>
      <c r="N35">
        <v>650</v>
      </c>
      <c r="O35">
        <f t="shared" si="1"/>
        <v>1.1153846153846154</v>
      </c>
      <c r="P35">
        <f t="shared" si="2"/>
        <v>9.5153846153846153</v>
      </c>
      <c r="Q35" s="7"/>
    </row>
    <row r="36" spans="1:17" x14ac:dyDescent="0.25">
      <c r="A36" t="s">
        <v>99</v>
      </c>
      <c r="B36" s="6">
        <v>45320</v>
      </c>
      <c r="C36">
        <v>7</v>
      </c>
      <c r="D36">
        <v>28395</v>
      </c>
      <c r="E36" t="s">
        <v>100</v>
      </c>
      <c r="F36" t="s">
        <v>73</v>
      </c>
      <c r="G36">
        <v>1</v>
      </c>
      <c r="H36">
        <v>1316</v>
      </c>
      <c r="I36">
        <v>15</v>
      </c>
      <c r="J36">
        <v>4.5</v>
      </c>
      <c r="K36">
        <v>8</v>
      </c>
      <c r="L36">
        <v>8</v>
      </c>
      <c r="M36">
        <f t="shared" si="0"/>
        <v>2</v>
      </c>
      <c r="N36">
        <v>400</v>
      </c>
      <c r="O36">
        <f t="shared" si="1"/>
        <v>3.29</v>
      </c>
      <c r="P36">
        <f t="shared" si="2"/>
        <v>13.29</v>
      </c>
      <c r="Q36" s="7"/>
    </row>
    <row r="37" spans="1:17" x14ac:dyDescent="0.25">
      <c r="A37" t="s">
        <v>101</v>
      </c>
      <c r="B37" s="6">
        <v>45707</v>
      </c>
      <c r="C37">
        <v>7</v>
      </c>
      <c r="D37">
        <v>27223</v>
      </c>
      <c r="E37" t="s">
        <v>102</v>
      </c>
      <c r="F37" t="s">
        <v>76</v>
      </c>
      <c r="G37">
        <v>10</v>
      </c>
      <c r="H37">
        <v>665</v>
      </c>
      <c r="I37">
        <v>6</v>
      </c>
      <c r="J37">
        <v>3</v>
      </c>
      <c r="K37">
        <v>6</v>
      </c>
      <c r="L37">
        <v>6</v>
      </c>
      <c r="M37">
        <f t="shared" si="0"/>
        <v>0.6</v>
      </c>
      <c r="N37">
        <v>1100</v>
      </c>
      <c r="O37">
        <f t="shared" si="1"/>
        <v>0.6045454545454545</v>
      </c>
      <c r="P37">
        <f t="shared" si="2"/>
        <v>7.204545454545455</v>
      </c>
      <c r="Q37" s="7"/>
    </row>
    <row r="38" spans="1:17" x14ac:dyDescent="0.25">
      <c r="A38" t="s">
        <v>103</v>
      </c>
      <c r="B38" s="6">
        <v>45364</v>
      </c>
      <c r="C38">
        <v>3</v>
      </c>
      <c r="D38">
        <v>28650</v>
      </c>
      <c r="E38" t="s">
        <v>104</v>
      </c>
      <c r="F38" t="s">
        <v>76</v>
      </c>
      <c r="G38">
        <v>10</v>
      </c>
      <c r="H38">
        <v>720</v>
      </c>
      <c r="I38">
        <v>2</v>
      </c>
      <c r="J38">
        <v>3</v>
      </c>
      <c r="K38">
        <v>6</v>
      </c>
      <c r="L38">
        <v>6</v>
      </c>
      <c r="M38">
        <f t="shared" si="0"/>
        <v>0.2</v>
      </c>
      <c r="N38">
        <v>1100</v>
      </c>
      <c r="O38">
        <f t="shared" si="1"/>
        <v>0.65454545454545454</v>
      </c>
      <c r="P38">
        <f t="shared" si="2"/>
        <v>6.8545454545454545</v>
      </c>
      <c r="Q38" s="7"/>
    </row>
    <row r="39" spans="1:17" x14ac:dyDescent="0.25">
      <c r="A39" t="s">
        <v>105</v>
      </c>
      <c r="B39" s="6">
        <v>45393</v>
      </c>
      <c r="C39">
        <v>3</v>
      </c>
      <c r="D39">
        <v>28839</v>
      </c>
      <c r="E39" t="s">
        <v>106</v>
      </c>
      <c r="F39" t="s">
        <v>79</v>
      </c>
      <c r="G39">
        <v>1</v>
      </c>
      <c r="H39">
        <v>2275</v>
      </c>
      <c r="I39">
        <v>16</v>
      </c>
      <c r="J39">
        <v>8</v>
      </c>
      <c r="K39">
        <v>8</v>
      </c>
      <c r="L39">
        <v>8</v>
      </c>
      <c r="M39">
        <f t="shared" si="0"/>
        <v>2.1333333333333333</v>
      </c>
      <c r="N39">
        <v>550</v>
      </c>
      <c r="O39">
        <f t="shared" si="1"/>
        <v>4.1363636363636367</v>
      </c>
      <c r="P39">
        <f t="shared" si="2"/>
        <v>14.26969696969697</v>
      </c>
      <c r="Q39" s="7"/>
    </row>
    <row r="40" spans="1:17" x14ac:dyDescent="0.25">
      <c r="A40" t="s">
        <v>107</v>
      </c>
      <c r="B40" s="6">
        <v>45569</v>
      </c>
      <c r="C40">
        <v>5</v>
      </c>
      <c r="D40">
        <v>29921</v>
      </c>
      <c r="E40" t="s">
        <v>108</v>
      </c>
      <c r="F40" t="s">
        <v>79</v>
      </c>
      <c r="G40">
        <v>1</v>
      </c>
      <c r="H40">
        <v>1000</v>
      </c>
      <c r="I40">
        <v>4</v>
      </c>
      <c r="J40">
        <v>8</v>
      </c>
      <c r="K40">
        <v>8</v>
      </c>
      <c r="L40">
        <v>8</v>
      </c>
      <c r="M40">
        <f t="shared" si="0"/>
        <v>0.53333333333333333</v>
      </c>
      <c r="N40">
        <v>550</v>
      </c>
      <c r="O40">
        <f t="shared" si="1"/>
        <v>1.8181818181818181</v>
      </c>
      <c r="P40">
        <f t="shared" si="2"/>
        <v>10.351515151515152</v>
      </c>
      <c r="Q40" s="7"/>
    </row>
    <row r="41" spans="1:17" x14ac:dyDescent="0.25">
      <c r="A41" t="s">
        <v>99</v>
      </c>
      <c r="B41" s="6">
        <v>45320</v>
      </c>
      <c r="C41">
        <v>7</v>
      </c>
      <c r="D41">
        <v>28148</v>
      </c>
      <c r="E41" t="s">
        <v>109</v>
      </c>
      <c r="F41" t="s">
        <v>82</v>
      </c>
      <c r="G41">
        <v>1</v>
      </c>
      <c r="H41">
        <v>9041</v>
      </c>
      <c r="I41">
        <v>25</v>
      </c>
      <c r="J41">
        <v>10</v>
      </c>
      <c r="K41">
        <v>10</v>
      </c>
      <c r="L41">
        <v>10</v>
      </c>
      <c r="M41">
        <f t="shared" si="0"/>
        <v>4.166666666666667</v>
      </c>
      <c r="N41">
        <v>450</v>
      </c>
      <c r="O41">
        <f t="shared" si="1"/>
        <v>20.091111111111111</v>
      </c>
      <c r="P41">
        <f t="shared" si="2"/>
        <v>34.257777777777775</v>
      </c>
      <c r="Q41" s="7"/>
    </row>
    <row r="42" spans="1:17" x14ac:dyDescent="0.25">
      <c r="A42" t="s">
        <v>110</v>
      </c>
      <c r="B42" s="6">
        <v>45530</v>
      </c>
      <c r="C42">
        <v>10</v>
      </c>
      <c r="D42">
        <v>2803</v>
      </c>
      <c r="E42" t="s">
        <v>111</v>
      </c>
      <c r="F42" t="s">
        <v>88</v>
      </c>
      <c r="G42">
        <v>60</v>
      </c>
      <c r="H42">
        <v>735</v>
      </c>
      <c r="I42">
        <v>5</v>
      </c>
      <c r="J42">
        <v>12</v>
      </c>
      <c r="K42">
        <v>10</v>
      </c>
      <c r="L42">
        <v>10</v>
      </c>
      <c r="M42">
        <f>(L42*I42)/60</f>
        <v>0.83333333333333337</v>
      </c>
      <c r="N42">
        <v>450</v>
      </c>
      <c r="O42">
        <f>H42/N42</f>
        <v>1.6333333333333333</v>
      </c>
      <c r="P42">
        <f>O42+M42+K42</f>
        <v>12.466666666666667</v>
      </c>
      <c r="Q42" s="7"/>
    </row>
    <row r="43" spans="1:17" x14ac:dyDescent="0.25">
      <c r="A43" t="s">
        <v>185</v>
      </c>
      <c r="B43" s="6">
        <v>45359</v>
      </c>
      <c r="C43">
        <v>3</v>
      </c>
      <c r="D43">
        <v>26992</v>
      </c>
      <c r="E43" t="s">
        <v>186</v>
      </c>
      <c r="F43" s="12" t="s">
        <v>187</v>
      </c>
      <c r="G43">
        <v>1</v>
      </c>
      <c r="H43">
        <v>7850</v>
      </c>
      <c r="I43">
        <v>2</v>
      </c>
      <c r="J43">
        <v>10</v>
      </c>
      <c r="K43">
        <v>15</v>
      </c>
      <c r="L43">
        <v>10</v>
      </c>
      <c r="M43">
        <f t="shared" ref="M43:M55" si="12">(L43*I43)/60</f>
        <v>0.33333333333333331</v>
      </c>
      <c r="N43">
        <v>225</v>
      </c>
      <c r="O43">
        <f t="shared" ref="O43:O55" si="13">H43/N43</f>
        <v>34.888888888888886</v>
      </c>
      <c r="P43">
        <f t="shared" ref="P43:P55" si="14">O43+M43+K43</f>
        <v>50.222222222222221</v>
      </c>
      <c r="Q43" s="7"/>
    </row>
    <row r="44" spans="1:17" x14ac:dyDescent="0.25">
      <c r="A44" t="s">
        <v>188</v>
      </c>
      <c r="B44" s="6">
        <v>45434</v>
      </c>
      <c r="C44">
        <v>3</v>
      </c>
      <c r="D44">
        <v>29088</v>
      </c>
      <c r="E44" t="s">
        <v>189</v>
      </c>
      <c r="F44" s="12" t="s">
        <v>190</v>
      </c>
      <c r="G44">
        <v>1</v>
      </c>
      <c r="H44">
        <v>3085</v>
      </c>
      <c r="I44">
        <v>1</v>
      </c>
      <c r="J44">
        <v>15</v>
      </c>
      <c r="K44">
        <v>15</v>
      </c>
      <c r="L44">
        <v>10</v>
      </c>
      <c r="M44">
        <f t="shared" si="12"/>
        <v>0.16666666666666666</v>
      </c>
      <c r="N44">
        <v>188</v>
      </c>
      <c r="O44">
        <f t="shared" si="13"/>
        <v>16.409574468085108</v>
      </c>
      <c r="P44">
        <f t="shared" si="14"/>
        <v>31.576241134751776</v>
      </c>
      <c r="Q44" s="7"/>
    </row>
    <row r="45" spans="1:17" x14ac:dyDescent="0.25">
      <c r="A45" t="s">
        <v>191</v>
      </c>
      <c r="B45" s="6">
        <v>45394</v>
      </c>
      <c r="C45">
        <v>3</v>
      </c>
      <c r="D45">
        <v>28855</v>
      </c>
      <c r="E45" t="s">
        <v>192</v>
      </c>
      <c r="F45" s="12" t="s">
        <v>190</v>
      </c>
      <c r="G45">
        <v>1</v>
      </c>
      <c r="H45">
        <v>3175</v>
      </c>
      <c r="I45">
        <v>1</v>
      </c>
      <c r="J45">
        <v>15</v>
      </c>
      <c r="K45">
        <v>15</v>
      </c>
      <c r="L45">
        <v>10</v>
      </c>
      <c r="M45">
        <f t="shared" si="12"/>
        <v>0.16666666666666666</v>
      </c>
      <c r="N45">
        <v>188</v>
      </c>
      <c r="O45">
        <f t="shared" si="13"/>
        <v>16.888297872340427</v>
      </c>
      <c r="P45">
        <f t="shared" si="14"/>
        <v>32.054964539007095</v>
      </c>
      <c r="Q45" s="7"/>
    </row>
    <row r="46" spans="1:17" x14ac:dyDescent="0.25">
      <c r="A46" t="s">
        <v>193</v>
      </c>
      <c r="B46" s="6">
        <v>45370</v>
      </c>
      <c r="C46">
        <v>1</v>
      </c>
      <c r="D46">
        <v>28707</v>
      </c>
      <c r="E46" t="s">
        <v>194</v>
      </c>
      <c r="F46" s="12" t="s">
        <v>195</v>
      </c>
      <c r="G46">
        <v>1</v>
      </c>
      <c r="H46">
        <v>2585</v>
      </c>
      <c r="I46">
        <v>1</v>
      </c>
      <c r="J46">
        <v>20</v>
      </c>
      <c r="K46">
        <v>15</v>
      </c>
      <c r="L46">
        <v>10</v>
      </c>
      <c r="M46">
        <f>(L46*I46)/60</f>
        <v>0.16666666666666666</v>
      </c>
      <c r="N46">
        <v>150</v>
      </c>
      <c r="O46">
        <f t="shared" si="13"/>
        <v>17.233333333333334</v>
      </c>
      <c r="P46">
        <f t="shared" si="14"/>
        <v>32.400000000000006</v>
      </c>
      <c r="Q46" s="7"/>
    </row>
    <row r="47" spans="1:17" x14ac:dyDescent="0.25">
      <c r="A47" t="s">
        <v>196</v>
      </c>
      <c r="B47" s="6">
        <v>45532</v>
      </c>
      <c r="C47">
        <v>1</v>
      </c>
      <c r="D47">
        <v>29652</v>
      </c>
      <c r="E47" t="s">
        <v>197</v>
      </c>
      <c r="F47" s="12" t="s">
        <v>195</v>
      </c>
      <c r="G47">
        <v>1</v>
      </c>
      <c r="H47">
        <v>4850</v>
      </c>
      <c r="I47">
        <v>11</v>
      </c>
      <c r="J47">
        <v>20</v>
      </c>
      <c r="K47">
        <v>15</v>
      </c>
      <c r="L47">
        <v>10</v>
      </c>
      <c r="M47">
        <f t="shared" si="12"/>
        <v>1.8333333333333333</v>
      </c>
      <c r="N47">
        <v>150</v>
      </c>
      <c r="O47">
        <f t="shared" si="13"/>
        <v>32.333333333333336</v>
      </c>
      <c r="P47">
        <f t="shared" si="14"/>
        <v>49.166666666666671</v>
      </c>
      <c r="Q47" s="7"/>
    </row>
    <row r="48" spans="1:17" x14ac:dyDescent="0.25">
      <c r="A48" t="s">
        <v>198</v>
      </c>
      <c r="B48" s="6">
        <v>45344</v>
      </c>
      <c r="C48">
        <v>3</v>
      </c>
      <c r="D48">
        <v>28562</v>
      </c>
      <c r="E48" t="s">
        <v>199</v>
      </c>
      <c r="F48" t="s">
        <v>200</v>
      </c>
      <c r="G48">
        <v>1</v>
      </c>
      <c r="H48">
        <v>4100</v>
      </c>
      <c r="I48">
        <v>3</v>
      </c>
      <c r="J48">
        <v>20</v>
      </c>
      <c r="K48">
        <v>15</v>
      </c>
      <c r="L48">
        <v>12</v>
      </c>
      <c r="M48">
        <f t="shared" si="12"/>
        <v>0.6</v>
      </c>
      <c r="N48">
        <v>100</v>
      </c>
      <c r="O48">
        <f t="shared" si="13"/>
        <v>41</v>
      </c>
      <c r="P48">
        <f t="shared" si="14"/>
        <v>56.6</v>
      </c>
      <c r="Q48" s="7"/>
    </row>
    <row r="49" spans="1:17" x14ac:dyDescent="0.25">
      <c r="A49" t="s">
        <v>201</v>
      </c>
      <c r="B49" s="6">
        <v>45349</v>
      </c>
      <c r="C49">
        <v>3</v>
      </c>
      <c r="D49">
        <v>28572</v>
      </c>
      <c r="E49" t="s">
        <v>202</v>
      </c>
      <c r="F49" t="s">
        <v>200</v>
      </c>
      <c r="G49">
        <v>1</v>
      </c>
      <c r="H49">
        <v>6400</v>
      </c>
      <c r="I49">
        <v>12</v>
      </c>
      <c r="J49">
        <v>20</v>
      </c>
      <c r="K49">
        <v>15</v>
      </c>
      <c r="L49">
        <v>12</v>
      </c>
      <c r="M49">
        <f t="shared" si="12"/>
        <v>2.4</v>
      </c>
      <c r="N49">
        <v>100</v>
      </c>
      <c r="O49">
        <f t="shared" si="13"/>
        <v>64</v>
      </c>
      <c r="P49">
        <f t="shared" si="14"/>
        <v>81.400000000000006</v>
      </c>
      <c r="Q49" s="7"/>
    </row>
    <row r="50" spans="1:17" x14ac:dyDescent="0.25">
      <c r="A50" t="s">
        <v>203</v>
      </c>
      <c r="B50" s="6">
        <v>45394</v>
      </c>
      <c r="C50">
        <v>1</v>
      </c>
      <c r="D50">
        <v>28854</v>
      </c>
      <c r="E50" t="s">
        <v>204</v>
      </c>
      <c r="F50" t="s">
        <v>200</v>
      </c>
      <c r="G50">
        <v>1</v>
      </c>
      <c r="H50">
        <v>2640</v>
      </c>
      <c r="I50">
        <v>1</v>
      </c>
      <c r="J50">
        <v>20</v>
      </c>
      <c r="K50">
        <v>15</v>
      </c>
      <c r="L50">
        <v>12</v>
      </c>
      <c r="M50">
        <f t="shared" si="12"/>
        <v>0.2</v>
      </c>
      <c r="N50">
        <v>100</v>
      </c>
      <c r="O50">
        <f t="shared" si="13"/>
        <v>26.4</v>
      </c>
      <c r="P50">
        <f t="shared" si="14"/>
        <v>41.599999999999994</v>
      </c>
      <c r="Q50" s="7"/>
    </row>
    <row r="51" spans="1:17" x14ac:dyDescent="0.25">
      <c r="A51" t="s">
        <v>205</v>
      </c>
      <c r="B51" s="6">
        <v>45583</v>
      </c>
      <c r="C51">
        <v>5</v>
      </c>
      <c r="D51">
        <v>30047</v>
      </c>
      <c r="E51" t="s">
        <v>206</v>
      </c>
      <c r="F51" t="s">
        <v>200</v>
      </c>
      <c r="G51">
        <v>100</v>
      </c>
      <c r="H51">
        <v>450</v>
      </c>
      <c r="I51">
        <v>1</v>
      </c>
      <c r="J51">
        <v>20</v>
      </c>
      <c r="K51">
        <v>15</v>
      </c>
      <c r="L51">
        <v>12</v>
      </c>
      <c r="M51">
        <f t="shared" si="12"/>
        <v>0.2</v>
      </c>
      <c r="N51">
        <v>100</v>
      </c>
      <c r="O51">
        <f t="shared" si="13"/>
        <v>4.5</v>
      </c>
      <c r="P51">
        <f t="shared" si="14"/>
        <v>19.7</v>
      </c>
      <c r="Q51" s="7"/>
    </row>
    <row r="52" spans="1:17" x14ac:dyDescent="0.25">
      <c r="A52" t="s">
        <v>205</v>
      </c>
      <c r="B52" s="6">
        <v>45583</v>
      </c>
      <c r="C52">
        <v>5</v>
      </c>
      <c r="D52">
        <v>30048</v>
      </c>
      <c r="E52" t="s">
        <v>207</v>
      </c>
      <c r="F52" t="s">
        <v>200</v>
      </c>
      <c r="G52">
        <v>400</v>
      </c>
      <c r="H52">
        <v>210</v>
      </c>
      <c r="I52">
        <v>1</v>
      </c>
      <c r="J52">
        <v>20</v>
      </c>
      <c r="K52">
        <v>15</v>
      </c>
      <c r="L52">
        <v>12</v>
      </c>
      <c r="M52">
        <f t="shared" si="12"/>
        <v>0.2</v>
      </c>
      <c r="N52">
        <v>100</v>
      </c>
      <c r="O52">
        <f t="shared" si="13"/>
        <v>2.1</v>
      </c>
      <c r="P52">
        <f t="shared" si="14"/>
        <v>17.3</v>
      </c>
      <c r="Q52" s="7"/>
    </row>
    <row r="53" spans="1:17" x14ac:dyDescent="0.25">
      <c r="A53" t="s">
        <v>208</v>
      </c>
      <c r="B53" s="6">
        <v>45245</v>
      </c>
      <c r="C53">
        <v>3</v>
      </c>
      <c r="D53">
        <v>28139</v>
      </c>
      <c r="E53" t="s">
        <v>209</v>
      </c>
      <c r="F53" t="s">
        <v>210</v>
      </c>
      <c r="G53">
        <v>1</v>
      </c>
      <c r="H53">
        <v>2725</v>
      </c>
      <c r="I53">
        <v>1</v>
      </c>
      <c r="J53">
        <v>30</v>
      </c>
      <c r="K53">
        <v>15</v>
      </c>
      <c r="L53">
        <v>12</v>
      </c>
      <c r="M53">
        <f t="shared" si="12"/>
        <v>0.2</v>
      </c>
      <c r="N53">
        <v>80</v>
      </c>
      <c r="O53" t="e">
        <f>#REF!/N53</f>
        <v>#REF!</v>
      </c>
      <c r="P53" t="e">
        <f t="shared" si="14"/>
        <v>#REF!</v>
      </c>
      <c r="Q53" s="7"/>
    </row>
    <row r="54" spans="1:17" x14ac:dyDescent="0.25">
      <c r="A54" t="s">
        <v>211</v>
      </c>
      <c r="B54" s="6">
        <v>45253</v>
      </c>
      <c r="C54">
        <v>3</v>
      </c>
      <c r="D54">
        <v>28175</v>
      </c>
      <c r="E54" t="s">
        <v>212</v>
      </c>
      <c r="F54" t="s">
        <v>210</v>
      </c>
      <c r="G54">
        <v>6</v>
      </c>
      <c r="H54">
        <v>600</v>
      </c>
      <c r="I54">
        <v>1</v>
      </c>
      <c r="J54">
        <v>30</v>
      </c>
      <c r="K54">
        <v>15</v>
      </c>
      <c r="L54">
        <v>12</v>
      </c>
      <c r="M54">
        <f t="shared" si="12"/>
        <v>0.2</v>
      </c>
      <c r="N54">
        <v>80</v>
      </c>
      <c r="O54">
        <f t="shared" si="13"/>
        <v>7.5</v>
      </c>
      <c r="P54">
        <f t="shared" si="14"/>
        <v>22.7</v>
      </c>
      <c r="Q54" s="7"/>
    </row>
    <row r="55" spans="1:17" x14ac:dyDescent="0.25">
      <c r="A55" t="s">
        <v>213</v>
      </c>
      <c r="B55" s="6">
        <v>45243</v>
      </c>
      <c r="C55">
        <v>3</v>
      </c>
      <c r="D55">
        <v>28108</v>
      </c>
      <c r="E55" t="s">
        <v>214</v>
      </c>
      <c r="F55" t="s">
        <v>210</v>
      </c>
      <c r="G55">
        <v>1</v>
      </c>
      <c r="H55">
        <v>3280</v>
      </c>
      <c r="I55">
        <v>1</v>
      </c>
      <c r="J55">
        <v>30</v>
      </c>
      <c r="K55">
        <v>15</v>
      </c>
      <c r="L55">
        <v>12</v>
      </c>
      <c r="M55">
        <f t="shared" si="12"/>
        <v>0.2</v>
      </c>
      <c r="N55">
        <v>80</v>
      </c>
      <c r="O55">
        <f t="shared" si="13"/>
        <v>41</v>
      </c>
      <c r="P55">
        <f t="shared" si="14"/>
        <v>56.2</v>
      </c>
      <c r="Q55" s="7"/>
    </row>
    <row r="56" spans="1:17" x14ac:dyDescent="0.25">
      <c r="A56" t="s">
        <v>114</v>
      </c>
      <c r="B56" s="6">
        <v>45614</v>
      </c>
      <c r="C56">
        <v>3</v>
      </c>
      <c r="D56">
        <v>30213</v>
      </c>
      <c r="E56" t="s">
        <v>115</v>
      </c>
      <c r="F56" t="s">
        <v>113</v>
      </c>
      <c r="G56">
        <v>3</v>
      </c>
      <c r="H56">
        <v>610</v>
      </c>
      <c r="I56">
        <v>5</v>
      </c>
      <c r="J56">
        <v>15</v>
      </c>
      <c r="K56">
        <v>10</v>
      </c>
      <c r="L56">
        <v>12</v>
      </c>
      <c r="M56">
        <f t="shared" ref="M56:M67" si="15">(L56*I56)/60</f>
        <v>1</v>
      </c>
      <c r="N56">
        <v>350</v>
      </c>
      <c r="O56">
        <f t="shared" ref="O56:O67" si="16">H56/N56</f>
        <v>1.7428571428571429</v>
      </c>
      <c r="P56">
        <f t="shared" ref="P56:P67" si="17">O56+M56+K56</f>
        <v>12.742857142857144</v>
      </c>
      <c r="Q56" s="7"/>
    </row>
    <row r="57" spans="1:17" x14ac:dyDescent="0.25">
      <c r="A57" t="s">
        <v>116</v>
      </c>
      <c r="B57" s="6">
        <v>45335</v>
      </c>
      <c r="C57">
        <v>5</v>
      </c>
      <c r="D57">
        <v>28476</v>
      </c>
      <c r="E57" t="s">
        <v>117</v>
      </c>
      <c r="F57" t="s">
        <v>118</v>
      </c>
      <c r="G57">
        <v>4</v>
      </c>
      <c r="H57">
        <v>950</v>
      </c>
      <c r="I57">
        <v>4</v>
      </c>
      <c r="J57">
        <v>10</v>
      </c>
      <c r="K57">
        <v>10</v>
      </c>
      <c r="L57">
        <v>10</v>
      </c>
      <c r="M57">
        <f t="shared" si="15"/>
        <v>0.66666666666666663</v>
      </c>
      <c r="N57">
        <v>650</v>
      </c>
      <c r="O57">
        <f t="shared" si="16"/>
        <v>1.4615384615384615</v>
      </c>
      <c r="P57">
        <f t="shared" si="17"/>
        <v>12.128205128205128</v>
      </c>
      <c r="Q57" s="7"/>
    </row>
    <row r="58" spans="1:17" x14ac:dyDescent="0.25">
      <c r="A58" t="s">
        <v>119</v>
      </c>
      <c r="B58" s="6">
        <v>45356</v>
      </c>
      <c r="C58">
        <v>5</v>
      </c>
      <c r="D58">
        <v>28615</v>
      </c>
      <c r="E58" t="s">
        <v>120</v>
      </c>
      <c r="F58" t="s">
        <v>118</v>
      </c>
      <c r="G58">
        <v>1</v>
      </c>
      <c r="H58">
        <v>6600</v>
      </c>
      <c r="I58">
        <v>70</v>
      </c>
      <c r="J58">
        <v>10</v>
      </c>
      <c r="K58">
        <v>10</v>
      </c>
      <c r="L58">
        <v>10</v>
      </c>
      <c r="M58">
        <f t="shared" si="15"/>
        <v>11.666666666666666</v>
      </c>
      <c r="N58">
        <v>650</v>
      </c>
      <c r="O58">
        <f t="shared" si="16"/>
        <v>10.153846153846153</v>
      </c>
      <c r="P58">
        <f t="shared" si="17"/>
        <v>31.820512820512818</v>
      </c>
      <c r="Q58" s="7"/>
    </row>
    <row r="59" spans="1:17" x14ac:dyDescent="0.25">
      <c r="A59" t="s">
        <v>121</v>
      </c>
      <c r="B59" s="6">
        <v>45342</v>
      </c>
      <c r="C59">
        <v>5</v>
      </c>
      <c r="D59">
        <v>29686</v>
      </c>
      <c r="E59" t="s">
        <v>122</v>
      </c>
      <c r="F59" t="s">
        <v>112</v>
      </c>
      <c r="G59">
        <v>72</v>
      </c>
      <c r="H59">
        <v>405</v>
      </c>
      <c r="I59">
        <v>3</v>
      </c>
      <c r="J59">
        <v>8</v>
      </c>
      <c r="K59">
        <v>8</v>
      </c>
      <c r="L59">
        <v>2</v>
      </c>
      <c r="M59">
        <f t="shared" si="15"/>
        <v>0.1</v>
      </c>
      <c r="N59">
        <v>800</v>
      </c>
      <c r="O59">
        <f t="shared" si="16"/>
        <v>0.50624999999999998</v>
      </c>
      <c r="P59">
        <f t="shared" si="17"/>
        <v>8.6062499999999993</v>
      </c>
      <c r="Q59" s="7"/>
    </row>
    <row r="60" spans="1:17" x14ac:dyDescent="0.25">
      <c r="A60" t="s">
        <v>123</v>
      </c>
      <c r="B60" s="6">
        <v>45902</v>
      </c>
      <c r="C60">
        <v>3</v>
      </c>
      <c r="D60">
        <v>29517</v>
      </c>
      <c r="E60" t="s">
        <v>124</v>
      </c>
      <c r="F60" t="s">
        <v>125</v>
      </c>
      <c r="G60">
        <v>1</v>
      </c>
      <c r="H60">
        <v>136500</v>
      </c>
      <c r="I60">
        <v>640</v>
      </c>
      <c r="J60">
        <v>16</v>
      </c>
      <c r="K60">
        <v>10</v>
      </c>
      <c r="L60">
        <v>12</v>
      </c>
      <c r="M60">
        <f t="shared" si="15"/>
        <v>128</v>
      </c>
      <c r="N60">
        <v>350</v>
      </c>
      <c r="O60">
        <f t="shared" si="16"/>
        <v>390</v>
      </c>
      <c r="P60">
        <f t="shared" si="17"/>
        <v>528</v>
      </c>
      <c r="Q60" s="7"/>
    </row>
    <row r="61" spans="1:17" x14ac:dyDescent="0.25">
      <c r="A61" t="s">
        <v>126</v>
      </c>
      <c r="B61" s="6">
        <v>45496</v>
      </c>
      <c r="C61">
        <v>5</v>
      </c>
      <c r="D61">
        <v>29404</v>
      </c>
      <c r="E61" t="s">
        <v>127</v>
      </c>
      <c r="F61" t="s">
        <v>128</v>
      </c>
      <c r="G61">
        <v>10</v>
      </c>
      <c r="H61">
        <v>735</v>
      </c>
      <c r="I61">
        <v>3</v>
      </c>
      <c r="J61">
        <v>6</v>
      </c>
      <c r="K61">
        <v>8</v>
      </c>
      <c r="L61">
        <v>8</v>
      </c>
      <c r="M61">
        <f t="shared" si="15"/>
        <v>0.4</v>
      </c>
      <c r="N61">
        <v>1500</v>
      </c>
      <c r="O61">
        <f t="shared" si="16"/>
        <v>0.49</v>
      </c>
      <c r="P61">
        <f t="shared" si="17"/>
        <v>8.89</v>
      </c>
      <c r="Q61" s="7"/>
    </row>
    <row r="62" spans="1:17" x14ac:dyDescent="0.25">
      <c r="A62" t="s">
        <v>129</v>
      </c>
      <c r="B62" s="6">
        <v>45447</v>
      </c>
      <c r="C62">
        <v>7</v>
      </c>
      <c r="D62">
        <v>29179</v>
      </c>
      <c r="E62" t="s">
        <v>175</v>
      </c>
      <c r="F62" t="s">
        <v>176</v>
      </c>
      <c r="G62">
        <v>2</v>
      </c>
      <c r="H62">
        <v>200</v>
      </c>
      <c r="I62">
        <v>1</v>
      </c>
      <c r="J62">
        <v>8</v>
      </c>
      <c r="K62">
        <v>10</v>
      </c>
      <c r="L62">
        <v>2</v>
      </c>
      <c r="M62">
        <f>(L62*I62)/60</f>
        <v>3.3333333333333333E-2</v>
      </c>
      <c r="N62">
        <v>200</v>
      </c>
      <c r="O62">
        <f>H62/N62</f>
        <v>1</v>
      </c>
      <c r="P62">
        <f>O62+M62+K62</f>
        <v>11.033333333333333</v>
      </c>
      <c r="Q62" s="7"/>
    </row>
    <row r="63" spans="1:17" x14ac:dyDescent="0.25">
      <c r="A63" t="s">
        <v>129</v>
      </c>
      <c r="B63" s="6">
        <v>45447</v>
      </c>
      <c r="C63">
        <v>7</v>
      </c>
      <c r="D63">
        <v>29183</v>
      </c>
      <c r="E63" t="s">
        <v>177</v>
      </c>
      <c r="F63" t="s">
        <v>178</v>
      </c>
      <c r="G63">
        <v>1</v>
      </c>
      <c r="H63">
        <v>3400</v>
      </c>
      <c r="I63">
        <v>2</v>
      </c>
      <c r="J63">
        <v>50</v>
      </c>
      <c r="K63">
        <v>30</v>
      </c>
      <c r="L63">
        <v>70</v>
      </c>
      <c r="M63">
        <f>(L63*I63)/60</f>
        <v>2.3333333333333335</v>
      </c>
      <c r="N63">
        <v>12</v>
      </c>
      <c r="O63">
        <f>H63/N63</f>
        <v>283.33333333333331</v>
      </c>
      <c r="P63">
        <f>O63+M63+K63</f>
        <v>315.66666666666663</v>
      </c>
      <c r="Q63" s="7"/>
    </row>
    <row r="64" spans="1:17" x14ac:dyDescent="0.25">
      <c r="A64" t="s">
        <v>129</v>
      </c>
      <c r="B64" s="6">
        <v>45447</v>
      </c>
      <c r="C64">
        <v>7</v>
      </c>
      <c r="D64">
        <v>29182</v>
      </c>
      <c r="E64" t="s">
        <v>130</v>
      </c>
      <c r="F64" t="s">
        <v>131</v>
      </c>
      <c r="G64">
        <v>16</v>
      </c>
      <c r="H64">
        <v>180</v>
      </c>
      <c r="I64">
        <v>3</v>
      </c>
      <c r="J64">
        <v>6</v>
      </c>
      <c r="K64">
        <v>10</v>
      </c>
      <c r="L64">
        <v>1</v>
      </c>
      <c r="M64">
        <f>(L64*I64)/60</f>
        <v>0.05</v>
      </c>
      <c r="N64">
        <v>280</v>
      </c>
      <c r="O64">
        <f>H64/N64</f>
        <v>0.6428571428571429</v>
      </c>
      <c r="P64">
        <f>O64+M64+K64</f>
        <v>10.692857142857143</v>
      </c>
      <c r="Q64" s="7"/>
    </row>
    <row r="65" spans="1:17" x14ac:dyDescent="0.25">
      <c r="A65" t="s">
        <v>132</v>
      </c>
      <c r="B65" s="6">
        <v>45447</v>
      </c>
      <c r="C65">
        <v>5</v>
      </c>
      <c r="D65">
        <v>29151</v>
      </c>
      <c r="E65" t="s">
        <v>133</v>
      </c>
      <c r="F65" t="s">
        <v>134</v>
      </c>
      <c r="G65">
        <v>1</v>
      </c>
      <c r="H65">
        <v>800</v>
      </c>
      <c r="I65">
        <v>1</v>
      </c>
      <c r="J65">
        <v>40</v>
      </c>
      <c r="K65">
        <v>30</v>
      </c>
      <c r="L65">
        <v>50</v>
      </c>
      <c r="M65">
        <f t="shared" si="15"/>
        <v>0.83333333333333337</v>
      </c>
      <c r="N65">
        <v>22</v>
      </c>
      <c r="O65">
        <f t="shared" si="16"/>
        <v>36.363636363636367</v>
      </c>
      <c r="P65">
        <f t="shared" si="17"/>
        <v>67.196969696969703</v>
      </c>
      <c r="Q65" s="7"/>
    </row>
    <row r="66" spans="1:17" x14ac:dyDescent="0.25">
      <c r="A66" t="s">
        <v>132</v>
      </c>
      <c r="B66" s="6">
        <v>45447</v>
      </c>
      <c r="C66">
        <v>5</v>
      </c>
      <c r="D66">
        <v>29145</v>
      </c>
      <c r="E66" t="s">
        <v>135</v>
      </c>
      <c r="F66" t="s">
        <v>136</v>
      </c>
      <c r="G66">
        <v>1</v>
      </c>
      <c r="H66">
        <v>930</v>
      </c>
      <c r="I66">
        <v>2</v>
      </c>
      <c r="J66">
        <v>25</v>
      </c>
      <c r="K66">
        <v>20</v>
      </c>
      <c r="L66">
        <v>25</v>
      </c>
      <c r="M66">
        <f t="shared" si="15"/>
        <v>0.83333333333333337</v>
      </c>
      <c r="N66">
        <v>40</v>
      </c>
      <c r="O66">
        <f t="shared" si="16"/>
        <v>23.25</v>
      </c>
      <c r="P66">
        <f t="shared" si="17"/>
        <v>44.083333333333329</v>
      </c>
      <c r="Q66" s="7"/>
    </row>
    <row r="67" spans="1:17" x14ac:dyDescent="0.25">
      <c r="A67" t="s">
        <v>132</v>
      </c>
      <c r="B67" s="6">
        <v>45447</v>
      </c>
      <c r="C67">
        <v>5</v>
      </c>
      <c r="D67">
        <v>29146</v>
      </c>
      <c r="E67" t="s">
        <v>137</v>
      </c>
      <c r="F67" t="s">
        <v>138</v>
      </c>
      <c r="G67">
        <v>1</v>
      </c>
      <c r="H67">
        <v>450</v>
      </c>
      <c r="I67">
        <v>1</v>
      </c>
      <c r="J67">
        <v>30</v>
      </c>
      <c r="K67">
        <v>25</v>
      </c>
      <c r="L67">
        <v>20</v>
      </c>
      <c r="M67">
        <f t="shared" si="15"/>
        <v>0.33333333333333331</v>
      </c>
      <c r="N67">
        <v>40</v>
      </c>
      <c r="O67">
        <f t="shared" si="16"/>
        <v>11.25</v>
      </c>
      <c r="P67">
        <f t="shared" si="17"/>
        <v>36.583333333333336</v>
      </c>
      <c r="Q67" s="7"/>
    </row>
    <row r="68" spans="1:17" x14ac:dyDescent="0.25">
      <c r="A68" t="s">
        <v>139</v>
      </c>
      <c r="B68" s="6">
        <v>45306</v>
      </c>
      <c r="C68">
        <v>5</v>
      </c>
      <c r="D68">
        <v>28325</v>
      </c>
      <c r="E68" t="s">
        <v>140</v>
      </c>
      <c r="F68" t="s">
        <v>141</v>
      </c>
      <c r="G68">
        <v>24</v>
      </c>
      <c r="H68">
        <v>1350</v>
      </c>
      <c r="I68">
        <v>3</v>
      </c>
      <c r="J68">
        <v>6</v>
      </c>
      <c r="K68">
        <v>15</v>
      </c>
      <c r="L68">
        <v>16</v>
      </c>
      <c r="M68">
        <f>(L68*I68)/60</f>
        <v>0.8</v>
      </c>
      <c r="N68">
        <v>70</v>
      </c>
      <c r="O68">
        <f>H68/N68</f>
        <v>19.285714285714285</v>
      </c>
      <c r="P68">
        <f>O68+M68+K68</f>
        <v>35.085714285714289</v>
      </c>
      <c r="Q68" s="7"/>
    </row>
    <row r="69" spans="1:17" x14ac:dyDescent="0.25">
      <c r="A69" t="s">
        <v>142</v>
      </c>
      <c r="B69" s="6">
        <v>45327</v>
      </c>
      <c r="C69">
        <v>0.5</v>
      </c>
      <c r="D69">
        <v>28447</v>
      </c>
      <c r="E69" t="s">
        <v>143</v>
      </c>
      <c r="F69" t="s">
        <v>131</v>
      </c>
      <c r="G69">
        <v>4</v>
      </c>
      <c r="H69">
        <v>495</v>
      </c>
      <c r="I69">
        <v>2</v>
      </c>
      <c r="J69">
        <v>6</v>
      </c>
      <c r="K69">
        <v>10</v>
      </c>
      <c r="L69">
        <v>10</v>
      </c>
      <c r="M69">
        <f t="shared" ref="M69:M88" si="18">(L69*I69)/60</f>
        <v>0.33333333333333331</v>
      </c>
      <c r="N69">
        <v>250</v>
      </c>
      <c r="O69">
        <f t="shared" ref="O69:O88" si="19">H69/N69</f>
        <v>1.98</v>
      </c>
      <c r="P69">
        <f t="shared" ref="P69:P88" si="20">O69+M69+K69</f>
        <v>12.313333333333333</v>
      </c>
      <c r="Q69" s="7"/>
    </row>
    <row r="70" spans="1:17" x14ac:dyDescent="0.25">
      <c r="A70" t="s">
        <v>142</v>
      </c>
      <c r="B70" s="6">
        <v>45327</v>
      </c>
      <c r="C70">
        <v>0.5</v>
      </c>
      <c r="D70">
        <v>28448</v>
      </c>
      <c r="E70" t="s">
        <v>144</v>
      </c>
      <c r="F70" t="s">
        <v>131</v>
      </c>
      <c r="G70">
        <v>4</v>
      </c>
      <c r="H70">
        <v>335</v>
      </c>
      <c r="I70">
        <v>2</v>
      </c>
      <c r="J70">
        <v>6</v>
      </c>
      <c r="K70">
        <v>10</v>
      </c>
      <c r="L70">
        <v>10</v>
      </c>
      <c r="M70">
        <f t="shared" si="18"/>
        <v>0.33333333333333331</v>
      </c>
      <c r="N70">
        <v>250</v>
      </c>
      <c r="O70">
        <f t="shared" si="19"/>
        <v>1.34</v>
      </c>
      <c r="P70">
        <f t="shared" si="20"/>
        <v>11.673333333333334</v>
      </c>
      <c r="Q70" s="7"/>
    </row>
    <row r="71" spans="1:17" x14ac:dyDescent="0.25">
      <c r="A71" t="s">
        <v>142</v>
      </c>
      <c r="B71" s="6">
        <v>45327</v>
      </c>
      <c r="C71">
        <v>0.5</v>
      </c>
      <c r="D71">
        <v>28449</v>
      </c>
      <c r="E71" t="s">
        <v>145</v>
      </c>
      <c r="F71" t="s">
        <v>131</v>
      </c>
      <c r="G71">
        <v>4</v>
      </c>
      <c r="H71">
        <v>700</v>
      </c>
      <c r="I71">
        <v>2</v>
      </c>
      <c r="J71">
        <v>6</v>
      </c>
      <c r="K71">
        <v>10</v>
      </c>
      <c r="L71">
        <v>10</v>
      </c>
      <c r="M71">
        <f t="shared" si="18"/>
        <v>0.33333333333333331</v>
      </c>
      <c r="N71">
        <v>250</v>
      </c>
      <c r="O71">
        <f t="shared" si="19"/>
        <v>2.8</v>
      </c>
      <c r="P71">
        <f t="shared" si="20"/>
        <v>13.133333333333333</v>
      </c>
      <c r="Q71" s="7"/>
    </row>
    <row r="72" spans="1:17" x14ac:dyDescent="0.25">
      <c r="A72" t="s">
        <v>142</v>
      </c>
      <c r="B72" s="6">
        <v>45327</v>
      </c>
      <c r="C72">
        <v>0.5</v>
      </c>
      <c r="D72">
        <v>28485</v>
      </c>
      <c r="E72" t="s">
        <v>146</v>
      </c>
      <c r="F72" t="s">
        <v>131</v>
      </c>
      <c r="G72">
        <v>4</v>
      </c>
      <c r="H72">
        <v>610</v>
      </c>
      <c r="I72">
        <v>2</v>
      </c>
      <c r="J72">
        <v>6</v>
      </c>
      <c r="K72">
        <v>10</v>
      </c>
      <c r="L72">
        <v>10</v>
      </c>
      <c r="M72">
        <f t="shared" si="18"/>
        <v>0.33333333333333331</v>
      </c>
      <c r="N72">
        <v>250</v>
      </c>
      <c r="O72">
        <f t="shared" si="19"/>
        <v>2.44</v>
      </c>
      <c r="P72">
        <f t="shared" si="20"/>
        <v>12.773333333333333</v>
      </c>
      <c r="Q72" s="7"/>
    </row>
    <row r="73" spans="1:17" x14ac:dyDescent="0.25">
      <c r="A73" t="s">
        <v>147</v>
      </c>
      <c r="B73" s="6">
        <v>45302</v>
      </c>
      <c r="C73">
        <v>5</v>
      </c>
      <c r="D73">
        <v>28328</v>
      </c>
      <c r="E73" t="s">
        <v>148</v>
      </c>
      <c r="F73" t="s">
        <v>149</v>
      </c>
      <c r="G73">
        <v>1</v>
      </c>
      <c r="H73">
        <v>6200</v>
      </c>
      <c r="I73">
        <v>40</v>
      </c>
      <c r="J73">
        <v>8</v>
      </c>
      <c r="K73">
        <v>15</v>
      </c>
      <c r="L73">
        <v>16</v>
      </c>
      <c r="M73">
        <f t="shared" si="18"/>
        <v>10.666666666666666</v>
      </c>
      <c r="N73">
        <v>70</v>
      </c>
      <c r="O73">
        <f t="shared" si="19"/>
        <v>88.571428571428569</v>
      </c>
      <c r="P73">
        <f t="shared" si="20"/>
        <v>114.23809523809524</v>
      </c>
      <c r="Q73" s="7"/>
    </row>
    <row r="74" spans="1:17" x14ac:dyDescent="0.25">
      <c r="A74" t="s">
        <v>147</v>
      </c>
      <c r="B74" s="6">
        <v>45302</v>
      </c>
      <c r="C74">
        <v>5</v>
      </c>
      <c r="D74">
        <v>28328</v>
      </c>
      <c r="E74" t="s">
        <v>150</v>
      </c>
      <c r="F74" t="s">
        <v>151</v>
      </c>
      <c r="G74">
        <v>1</v>
      </c>
      <c r="H74">
        <v>1250</v>
      </c>
      <c r="I74">
        <v>1</v>
      </c>
      <c r="J74">
        <v>10</v>
      </c>
      <c r="K74">
        <v>15</v>
      </c>
      <c r="L74">
        <v>12</v>
      </c>
      <c r="M74">
        <f t="shared" si="18"/>
        <v>0.2</v>
      </c>
      <c r="N74">
        <v>140</v>
      </c>
      <c r="O74">
        <f t="shared" si="19"/>
        <v>8.9285714285714288</v>
      </c>
      <c r="P74">
        <f t="shared" si="20"/>
        <v>24.128571428571426</v>
      </c>
      <c r="Q74" s="7"/>
    </row>
    <row r="75" spans="1:17" x14ac:dyDescent="0.25">
      <c r="A75" t="s">
        <v>152</v>
      </c>
      <c r="B75" s="6">
        <v>45425</v>
      </c>
      <c r="C75">
        <v>5</v>
      </c>
      <c r="D75">
        <v>28967</v>
      </c>
      <c r="E75" t="s">
        <v>179</v>
      </c>
      <c r="F75" t="s">
        <v>163</v>
      </c>
      <c r="G75">
        <v>1</v>
      </c>
      <c r="H75">
        <v>1470</v>
      </c>
      <c r="I75">
        <v>7</v>
      </c>
      <c r="J75">
        <v>20</v>
      </c>
      <c r="K75">
        <v>20</v>
      </c>
      <c r="L75">
        <v>20</v>
      </c>
      <c r="M75">
        <f>(L75*I75)/60</f>
        <v>2.3333333333333335</v>
      </c>
      <c r="N75">
        <v>60</v>
      </c>
      <c r="O75">
        <f>H75/N75</f>
        <v>24.5</v>
      </c>
      <c r="P75">
        <f>O75+M75+K75</f>
        <v>46.833333333333329</v>
      </c>
      <c r="Q75" s="7"/>
    </row>
    <row r="76" spans="1:17" x14ac:dyDescent="0.25">
      <c r="A76" t="s">
        <v>180</v>
      </c>
      <c r="B76" s="6">
        <v>45573</v>
      </c>
      <c r="C76">
        <v>10</v>
      </c>
      <c r="D76">
        <v>29716</v>
      </c>
      <c r="E76" t="s">
        <v>182</v>
      </c>
      <c r="F76" t="s">
        <v>136</v>
      </c>
      <c r="G76">
        <v>2</v>
      </c>
      <c r="H76">
        <v>1755</v>
      </c>
      <c r="I76">
        <v>1</v>
      </c>
      <c r="J76">
        <v>25</v>
      </c>
      <c r="K76">
        <v>20</v>
      </c>
      <c r="L76">
        <v>25</v>
      </c>
      <c r="M76">
        <f>(L76*I76)/60</f>
        <v>0.41666666666666669</v>
      </c>
      <c r="N76">
        <v>45</v>
      </c>
      <c r="O76">
        <f>H76/N76</f>
        <v>39</v>
      </c>
      <c r="P76">
        <f>O76+M76+K76</f>
        <v>59.416666666666664</v>
      </c>
      <c r="Q76" s="7"/>
    </row>
    <row r="77" spans="1:17" x14ac:dyDescent="0.25">
      <c r="A77" t="s">
        <v>183</v>
      </c>
      <c r="B77" s="6">
        <v>45525</v>
      </c>
      <c r="C77" s="10">
        <v>5</v>
      </c>
      <c r="D77" s="10">
        <v>27532</v>
      </c>
      <c r="E77" s="10" t="s">
        <v>164</v>
      </c>
      <c r="F77" s="10" t="s">
        <v>163</v>
      </c>
      <c r="G77" s="10">
        <v>1</v>
      </c>
      <c r="H77" s="10">
        <v>660</v>
      </c>
      <c r="I77" s="10">
        <v>2</v>
      </c>
      <c r="J77" s="10">
        <v>20</v>
      </c>
      <c r="K77" s="10">
        <v>20</v>
      </c>
      <c r="L77" s="10">
        <v>20</v>
      </c>
      <c r="M77" s="10">
        <f>(L77*I77)/60</f>
        <v>0.66666666666666663</v>
      </c>
      <c r="N77" s="10">
        <v>60</v>
      </c>
      <c r="O77" s="10">
        <f>H77/N77</f>
        <v>11</v>
      </c>
      <c r="P77" s="11">
        <f>O77+M77+K77</f>
        <v>31.666666666666664</v>
      </c>
      <c r="Q77" s="7"/>
    </row>
    <row r="78" spans="1:17" x14ac:dyDescent="0.25">
      <c r="A78" t="s">
        <v>183</v>
      </c>
      <c r="B78" s="6">
        <v>45525</v>
      </c>
      <c r="C78">
        <v>5</v>
      </c>
      <c r="D78">
        <v>27533</v>
      </c>
      <c r="E78" t="s">
        <v>184</v>
      </c>
      <c r="F78" t="s">
        <v>160</v>
      </c>
      <c r="G78">
        <v>1</v>
      </c>
      <c r="H78">
        <v>330</v>
      </c>
      <c r="I78">
        <v>1</v>
      </c>
      <c r="J78">
        <v>16</v>
      </c>
      <c r="K78">
        <v>15</v>
      </c>
      <c r="L78">
        <v>16</v>
      </c>
      <c r="M78">
        <f>(L78*I78)/60</f>
        <v>0.26666666666666666</v>
      </c>
      <c r="N78">
        <v>70</v>
      </c>
      <c r="O78">
        <f>H78/N78</f>
        <v>4.7142857142857144</v>
      </c>
      <c r="P78">
        <f>O78+M78+K78</f>
        <v>19.980952380952381</v>
      </c>
      <c r="Q78" s="7"/>
    </row>
    <row r="79" spans="1:17" x14ac:dyDescent="0.25">
      <c r="A79" t="s">
        <v>180</v>
      </c>
      <c r="B79" s="6">
        <v>45573</v>
      </c>
      <c r="C79">
        <v>10</v>
      </c>
      <c r="D79">
        <v>29715</v>
      </c>
      <c r="E79" t="s">
        <v>181</v>
      </c>
      <c r="F79" t="s">
        <v>157</v>
      </c>
      <c r="G79">
        <v>3</v>
      </c>
      <c r="H79">
        <v>1955</v>
      </c>
      <c r="I79">
        <v>3</v>
      </c>
      <c r="J79">
        <v>12</v>
      </c>
      <c r="K79">
        <v>15</v>
      </c>
      <c r="L79">
        <v>14</v>
      </c>
      <c r="M79">
        <f>(L79*I79)/60</f>
        <v>0.7</v>
      </c>
      <c r="N79">
        <v>110</v>
      </c>
      <c r="O79">
        <f>H79/N79</f>
        <v>17.772727272727273</v>
      </c>
      <c r="P79">
        <f>O79+M79+K79</f>
        <v>33.472727272727269</v>
      </c>
      <c r="Q79" s="7"/>
    </row>
    <row r="80" spans="1:17" x14ac:dyDescent="0.25">
      <c r="A80" t="s">
        <v>152</v>
      </c>
      <c r="B80" s="6">
        <v>45425</v>
      </c>
      <c r="C80">
        <v>5</v>
      </c>
      <c r="D80">
        <v>28966</v>
      </c>
      <c r="E80" t="s">
        <v>153</v>
      </c>
      <c r="F80" t="s">
        <v>154</v>
      </c>
      <c r="G80">
        <v>2</v>
      </c>
      <c r="H80">
        <v>645</v>
      </c>
      <c r="I80">
        <v>4</v>
      </c>
      <c r="J80">
        <v>10</v>
      </c>
      <c r="K80">
        <v>15</v>
      </c>
      <c r="L80">
        <v>12</v>
      </c>
      <c r="M80">
        <f t="shared" si="18"/>
        <v>0.8</v>
      </c>
      <c r="N80">
        <v>140</v>
      </c>
      <c r="O80">
        <f t="shared" si="19"/>
        <v>4.6071428571428568</v>
      </c>
      <c r="P80">
        <f t="shared" si="20"/>
        <v>20.407142857142858</v>
      </c>
      <c r="Q80" s="7"/>
    </row>
    <row r="81" spans="1:17" x14ac:dyDescent="0.25">
      <c r="A81" t="s">
        <v>155</v>
      </c>
      <c r="B81" s="6">
        <v>45538</v>
      </c>
      <c r="C81">
        <v>5</v>
      </c>
      <c r="D81">
        <v>29685</v>
      </c>
      <c r="E81" t="s">
        <v>156</v>
      </c>
      <c r="F81" t="s">
        <v>157</v>
      </c>
      <c r="G81">
        <v>4</v>
      </c>
      <c r="H81">
        <v>200</v>
      </c>
      <c r="I81">
        <v>2</v>
      </c>
      <c r="J81">
        <v>12</v>
      </c>
      <c r="K81">
        <v>15</v>
      </c>
      <c r="L81">
        <v>14</v>
      </c>
      <c r="M81">
        <f t="shared" si="18"/>
        <v>0.46666666666666667</v>
      </c>
      <c r="N81">
        <v>110</v>
      </c>
      <c r="O81">
        <f t="shared" si="19"/>
        <v>1.8181818181818181</v>
      </c>
      <c r="P81">
        <f t="shared" si="20"/>
        <v>17.284848484848485</v>
      </c>
      <c r="Q81" s="7"/>
    </row>
    <row r="82" spans="1:17" x14ac:dyDescent="0.25">
      <c r="A82" t="s">
        <v>158</v>
      </c>
      <c r="B82" s="6">
        <v>45329</v>
      </c>
      <c r="C82">
        <v>7</v>
      </c>
      <c r="D82">
        <v>28442</v>
      </c>
      <c r="E82" t="s">
        <v>159</v>
      </c>
      <c r="F82" t="s">
        <v>160</v>
      </c>
      <c r="G82">
        <v>10</v>
      </c>
      <c r="H82">
        <v>245</v>
      </c>
      <c r="I82">
        <v>1</v>
      </c>
      <c r="J82">
        <v>16</v>
      </c>
      <c r="K82">
        <v>15</v>
      </c>
      <c r="L82">
        <v>16</v>
      </c>
      <c r="M82">
        <f t="shared" si="18"/>
        <v>0.26666666666666666</v>
      </c>
      <c r="N82">
        <v>70</v>
      </c>
      <c r="O82">
        <f t="shared" si="19"/>
        <v>3.5</v>
      </c>
      <c r="P82">
        <f t="shared" si="20"/>
        <v>18.766666666666666</v>
      </c>
      <c r="Q82" s="7"/>
    </row>
    <row r="83" spans="1:17" x14ac:dyDescent="0.25">
      <c r="A83" t="s">
        <v>161</v>
      </c>
      <c r="B83" s="6">
        <v>45323</v>
      </c>
      <c r="C83">
        <v>5</v>
      </c>
      <c r="D83">
        <v>28434</v>
      </c>
      <c r="E83" t="s">
        <v>162</v>
      </c>
      <c r="F83" t="s">
        <v>163</v>
      </c>
      <c r="G83">
        <v>8</v>
      </c>
      <c r="H83">
        <v>1375</v>
      </c>
      <c r="I83">
        <v>2</v>
      </c>
      <c r="J83">
        <v>20</v>
      </c>
      <c r="K83">
        <v>20</v>
      </c>
      <c r="L83">
        <v>20</v>
      </c>
      <c r="M83">
        <f t="shared" si="18"/>
        <v>0.66666666666666663</v>
      </c>
      <c r="N83">
        <v>60</v>
      </c>
      <c r="O83">
        <f t="shared" si="19"/>
        <v>22.916666666666668</v>
      </c>
      <c r="P83">
        <f t="shared" si="20"/>
        <v>43.583333333333336</v>
      </c>
      <c r="Q83" s="7"/>
    </row>
    <row r="84" spans="1:17" x14ac:dyDescent="0.25">
      <c r="A84" t="s">
        <v>161</v>
      </c>
      <c r="B84" s="6">
        <v>45323</v>
      </c>
      <c r="C84">
        <v>5</v>
      </c>
      <c r="D84">
        <v>27532</v>
      </c>
      <c r="E84" t="s">
        <v>164</v>
      </c>
      <c r="F84" t="s">
        <v>163</v>
      </c>
      <c r="G84">
        <v>1</v>
      </c>
      <c r="H84">
        <v>660</v>
      </c>
      <c r="I84">
        <v>2</v>
      </c>
      <c r="J84">
        <v>20</v>
      </c>
      <c r="K84">
        <v>20</v>
      </c>
      <c r="L84">
        <v>20</v>
      </c>
      <c r="M84">
        <f t="shared" si="18"/>
        <v>0.66666666666666663</v>
      </c>
      <c r="N84">
        <v>60</v>
      </c>
      <c r="O84">
        <f t="shared" si="19"/>
        <v>11</v>
      </c>
      <c r="P84">
        <f t="shared" si="20"/>
        <v>31.666666666666664</v>
      </c>
      <c r="Q84" s="7"/>
    </row>
    <row r="85" spans="1:17" x14ac:dyDescent="0.25">
      <c r="A85" t="s">
        <v>165</v>
      </c>
      <c r="B85" s="6">
        <v>45436</v>
      </c>
      <c r="C85">
        <v>5</v>
      </c>
      <c r="D85">
        <v>29107</v>
      </c>
      <c r="E85" t="s">
        <v>166</v>
      </c>
      <c r="F85" t="s">
        <v>136</v>
      </c>
      <c r="G85">
        <v>3</v>
      </c>
      <c r="H85">
        <v>3800</v>
      </c>
      <c r="I85">
        <v>2</v>
      </c>
      <c r="J85">
        <v>25</v>
      </c>
      <c r="K85">
        <v>20</v>
      </c>
      <c r="L85">
        <v>25</v>
      </c>
      <c r="M85">
        <f t="shared" si="18"/>
        <v>0.83333333333333337</v>
      </c>
      <c r="N85">
        <v>40</v>
      </c>
      <c r="O85">
        <f t="shared" si="19"/>
        <v>95</v>
      </c>
      <c r="P85">
        <f t="shared" si="20"/>
        <v>115.83333333333333</v>
      </c>
      <c r="Q85" s="7"/>
    </row>
    <row r="86" spans="1:17" x14ac:dyDescent="0.25">
      <c r="A86" t="s">
        <v>167</v>
      </c>
      <c r="B86" s="6">
        <v>45264</v>
      </c>
      <c r="C86">
        <v>5</v>
      </c>
      <c r="D86">
        <v>28239</v>
      </c>
      <c r="E86" t="s">
        <v>168</v>
      </c>
      <c r="F86" t="s">
        <v>169</v>
      </c>
      <c r="G86">
        <v>4</v>
      </c>
      <c r="H86">
        <v>300</v>
      </c>
      <c r="I86">
        <v>1</v>
      </c>
      <c r="J86">
        <v>25</v>
      </c>
      <c r="K86">
        <v>20</v>
      </c>
      <c r="L86">
        <v>25</v>
      </c>
      <c r="M86">
        <f t="shared" si="18"/>
        <v>0.41666666666666669</v>
      </c>
      <c r="N86">
        <v>60</v>
      </c>
      <c r="O86">
        <f t="shared" si="19"/>
        <v>5</v>
      </c>
      <c r="P86">
        <f t="shared" si="20"/>
        <v>25.416666666666668</v>
      </c>
      <c r="Q86" s="7"/>
    </row>
    <row r="87" spans="1:17" x14ac:dyDescent="0.25">
      <c r="A87" t="s">
        <v>170</v>
      </c>
      <c r="B87" s="6">
        <v>45350</v>
      </c>
      <c r="C87">
        <v>3</v>
      </c>
      <c r="D87">
        <v>28456</v>
      </c>
      <c r="E87" t="s">
        <v>171</v>
      </c>
      <c r="F87" t="s">
        <v>172</v>
      </c>
      <c r="G87">
        <v>2</v>
      </c>
      <c r="H87">
        <v>175</v>
      </c>
      <c r="I87">
        <v>1</v>
      </c>
      <c r="J87">
        <v>30</v>
      </c>
      <c r="K87">
        <v>25</v>
      </c>
      <c r="L87">
        <v>30</v>
      </c>
      <c r="M87">
        <f t="shared" si="18"/>
        <v>0.5</v>
      </c>
      <c r="N87">
        <v>40</v>
      </c>
      <c r="O87">
        <f t="shared" si="19"/>
        <v>4.375</v>
      </c>
      <c r="P87">
        <f t="shared" si="20"/>
        <v>29.875</v>
      </c>
      <c r="Q87" s="7"/>
    </row>
    <row r="88" spans="1:17" x14ac:dyDescent="0.25">
      <c r="A88" t="s">
        <v>173</v>
      </c>
      <c r="B88" s="6">
        <v>45268</v>
      </c>
      <c r="C88">
        <v>10</v>
      </c>
      <c r="D88">
        <v>28236</v>
      </c>
      <c r="E88" t="s">
        <v>174</v>
      </c>
      <c r="F88" t="s">
        <v>134</v>
      </c>
      <c r="G88">
        <v>1</v>
      </c>
      <c r="H88">
        <v>1000</v>
      </c>
      <c r="I88">
        <v>1</v>
      </c>
      <c r="J88">
        <v>40</v>
      </c>
      <c r="K88">
        <v>30</v>
      </c>
      <c r="L88">
        <v>15</v>
      </c>
      <c r="M88">
        <f t="shared" si="18"/>
        <v>0.25</v>
      </c>
      <c r="N88">
        <v>22</v>
      </c>
      <c r="O88">
        <f t="shared" si="19"/>
        <v>45.454545454545453</v>
      </c>
      <c r="P88">
        <f t="shared" si="20"/>
        <v>75.704545454545453</v>
      </c>
      <c r="Q88" s="7"/>
    </row>
    <row r="89" spans="1:17" x14ac:dyDescent="0.25">
      <c r="Q89" s="7"/>
    </row>
    <row r="90" spans="1:17" x14ac:dyDescent="0.25">
      <c r="Q90" s="7"/>
    </row>
    <row r="91" spans="1:17" x14ac:dyDescent="0.25">
      <c r="Q91" s="7"/>
    </row>
    <row r="92" spans="1:17" x14ac:dyDescent="0.25">
      <c r="Q92" s="7"/>
    </row>
    <row r="93" spans="1:17" x14ac:dyDescent="0.25">
      <c r="Q93" s="7"/>
    </row>
    <row r="94" spans="1:17" x14ac:dyDescent="0.25">
      <c r="Q94" s="7"/>
    </row>
    <row r="95" spans="1:17" x14ac:dyDescent="0.25">
      <c r="Q95" s="7"/>
    </row>
    <row r="96" spans="1:17" x14ac:dyDescent="0.25">
      <c r="Q96" s="7"/>
    </row>
    <row r="97" spans="17:17" x14ac:dyDescent="0.25">
      <c r="Q97" s="7"/>
    </row>
    <row r="98" spans="17:17" x14ac:dyDescent="0.25">
      <c r="Q98" s="7"/>
    </row>
    <row r="99" spans="17:17" x14ac:dyDescent="0.25">
      <c r="Q99" s="7"/>
    </row>
    <row r="100" spans="17:17" x14ac:dyDescent="0.25">
      <c r="Q100" s="7"/>
    </row>
    <row r="101" spans="17:17" x14ac:dyDescent="0.25">
      <c r="Q101" s="7"/>
    </row>
    <row r="102" spans="17:17" x14ac:dyDescent="0.25">
      <c r="Q102" s="7"/>
    </row>
    <row r="103" spans="17:17" x14ac:dyDescent="0.25">
      <c r="Q103" s="7"/>
    </row>
    <row r="104" spans="17:17" x14ac:dyDescent="0.25">
      <c r="Q104" s="7"/>
    </row>
    <row r="105" spans="17:17" x14ac:dyDescent="0.25">
      <c r="Q105" s="7"/>
    </row>
    <row r="106" spans="17:17" x14ac:dyDescent="0.25">
      <c r="Q106" s="7"/>
    </row>
    <row r="107" spans="17:17" x14ac:dyDescent="0.25">
      <c r="Q107" s="7"/>
    </row>
    <row r="108" spans="17:17" x14ac:dyDescent="0.25">
      <c r="Q108" s="7"/>
    </row>
    <row r="109" spans="17:17" x14ac:dyDescent="0.25">
      <c r="Q109" s="7"/>
    </row>
    <row r="110" spans="17:17" x14ac:dyDescent="0.25">
      <c r="Q110" s="7"/>
    </row>
    <row r="111" spans="17:17" x14ac:dyDescent="0.25">
      <c r="Q111" s="7"/>
    </row>
    <row r="112" spans="17:17" x14ac:dyDescent="0.25">
      <c r="Q112" s="7"/>
    </row>
    <row r="113" spans="17:17" x14ac:dyDescent="0.25">
      <c r="Q113" s="7"/>
    </row>
    <row r="114" spans="17:17" x14ac:dyDescent="0.25">
      <c r="Q114" s="7"/>
    </row>
    <row r="115" spans="17:17" x14ac:dyDescent="0.25">
      <c r="Q115" s="7"/>
    </row>
    <row r="116" spans="17:17" x14ac:dyDescent="0.25">
      <c r="Q116" s="7"/>
    </row>
    <row r="117" spans="17:17" x14ac:dyDescent="0.25">
      <c r="Q117" s="7"/>
    </row>
    <row r="118" spans="17:17" x14ac:dyDescent="0.25">
      <c r="Q118" s="7"/>
    </row>
    <row r="119" spans="17:17" x14ac:dyDescent="0.25">
      <c r="Q119" s="7"/>
    </row>
    <row r="120" spans="17:17" x14ac:dyDescent="0.25">
      <c r="Q120" s="7"/>
    </row>
    <row r="121" spans="17:17" x14ac:dyDescent="0.25">
      <c r="Q121" s="7"/>
    </row>
    <row r="122" spans="17:17" x14ac:dyDescent="0.25">
      <c r="Q122" s="7"/>
    </row>
    <row r="123" spans="17:17" x14ac:dyDescent="0.25">
      <c r="Q123" s="7"/>
    </row>
    <row r="124" spans="17:17" x14ac:dyDescent="0.25">
      <c r="Q124" s="7"/>
    </row>
    <row r="125" spans="17:17" x14ac:dyDescent="0.25">
      <c r="Q125" s="7"/>
    </row>
    <row r="126" spans="17:17" x14ac:dyDescent="0.25">
      <c r="Q126" s="7"/>
    </row>
    <row r="127" spans="17:17" x14ac:dyDescent="0.25">
      <c r="Q127" s="7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2812384C75894DADA76C70216736F6" ma:contentTypeVersion="7" ma:contentTypeDescription="Create a new document." ma:contentTypeScope="" ma:versionID="ffa7a4ccb51406a67ca573cbf8ad31fb">
  <xsd:schema xmlns:xsd="http://www.w3.org/2001/XMLSchema" xmlns:xs="http://www.w3.org/2001/XMLSchema" xmlns:p="http://schemas.microsoft.com/office/2006/metadata/properties" xmlns:ns2="a2b74f91-61c9-4fa1-9c4a-9c2a44a51679" targetNamespace="http://schemas.microsoft.com/office/2006/metadata/properties" ma:root="true" ma:fieldsID="0a38d7aff51cec1042d8f74d12096fa4" ns2:_="">
    <xsd:import namespace="a2b74f91-61c9-4fa1-9c4a-9c2a44a516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74f91-61c9-4fa1-9c4a-9c2a44a51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5BDFA8-D2F4-4DB8-9277-FBD9DD36BDEB}"/>
</file>

<file path=customXml/itemProps2.xml><?xml version="1.0" encoding="utf-8"?>
<ds:datastoreItem xmlns:ds="http://schemas.openxmlformats.org/officeDocument/2006/customXml" ds:itemID="{801A00A0-FD52-40D2-93D0-5DE79FB54350}"/>
</file>

<file path=customXml/itemProps3.xml><?xml version="1.0" encoding="utf-8"?>
<ds:datastoreItem xmlns:ds="http://schemas.openxmlformats.org/officeDocument/2006/customXml" ds:itemID="{A7FB2855-5CD9-43B3-8E18-BD81826F1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Mathew S</dc:creator>
  <cp:keywords/>
  <dc:description/>
  <cp:lastModifiedBy>Declan Aitcheson</cp:lastModifiedBy>
  <cp:revision/>
  <dcterms:created xsi:type="dcterms:W3CDTF">2015-06-05T18:17:20Z</dcterms:created>
  <dcterms:modified xsi:type="dcterms:W3CDTF">2025-10-28T18:44:10Z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0x010100B82812384C75894DADA76C70216736F6</vt:lpwstr>
  </property>
</Properties>
</file>